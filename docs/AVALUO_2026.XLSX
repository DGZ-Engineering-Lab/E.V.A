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ggaingenieria.sharepoint.com/sites/Gestion_Predial_OYM/Documentos compartidos/GESTIÓN PREDIAL OYM/1. MTTO_2025/1. AVISOS/CTE_ORI/00. GESTIÓN AVISOS/5765914/INVENTARIO/IFT T349 BANACLIM2301_SARAV/IFT T349 BANACLIM2301_SARAV/"/>
    </mc:Choice>
  </mc:AlternateContent>
  <xr:revisionPtr revIDLastSave="839" documentId="14_{5EC2732B-22E5-422F-B414-C10FC975A4DF}" xr6:coauthVersionLast="47" xr6:coauthVersionMax="47" xr10:uidLastSave="{A5068D1C-DB53-46F6-A943-FF9F33A1A821}"/>
  <bookViews>
    <workbookView xWindow="28680" yWindow="-120" windowWidth="29040" windowHeight="15720" xr2:uid="{00000000-000D-0000-FFFF-FFFF00000000}"/>
  </bookViews>
  <sheets>
    <sheet name="AVALUO" sheetId="14" r:id="rId1"/>
    <sheet name="ESPECIES" sheetId="12" state="hidden" r:id="rId2"/>
    <sheet name="PRIMERA_O&amp;M" sheetId="9" state="hidden" r:id="rId3"/>
    <sheet name="SEGUNDA_O&amp;M" sheetId="10" state="hidden" r:id="rId4"/>
    <sheet name="TERCERA_O&amp;M" sheetId="11" state="hidden" r:id="rId5"/>
    <sheet name="LISTAS Y RANGOS" sheetId="13" state="hidden" r:id="rId6"/>
  </sheets>
  <definedNames>
    <definedName name="_xlnm._FilterDatabase" localSheetId="1" hidden="1">ESPECIES!$A$1:$B$492</definedName>
    <definedName name="_xlnm.Print_Area" localSheetId="2">'PRIMERA_O&amp;M'!$A$1:$M$21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4" l="1"/>
  <c r="C15" i="14"/>
  <c r="D15" i="14"/>
  <c r="E15" i="14"/>
  <c r="C16" i="14"/>
  <c r="E16" i="14"/>
  <c r="H10" i="14"/>
  <c r="G10" i="14"/>
  <c r="D16" i="14" s="1"/>
  <c r="F10" i="14"/>
  <c r="E10" i="14"/>
  <c r="B16" i="14" s="1"/>
  <c r="E3" i="12"/>
  <c r="I10" i="12"/>
  <c r="I27" i="12"/>
  <c r="I28" i="12"/>
  <c r="I32" i="12"/>
  <c r="I33" i="12"/>
  <c r="I43" i="12"/>
  <c r="I44" i="12"/>
  <c r="I46" i="12"/>
  <c r="I47" i="12"/>
  <c r="I48" i="12"/>
  <c r="I49" i="12" l="1"/>
  <c r="I51" i="12"/>
  <c r="I56" i="12"/>
  <c r="I57" i="12"/>
  <c r="I60" i="12"/>
  <c r="I62" i="12"/>
  <c r="I64" i="12" l="1"/>
  <c r="I6" i="13" l="1"/>
  <c r="J6" i="13" s="1" a="1"/>
  <c r="J6" i="13" s="1"/>
  <c r="N8" i="11" s="1"/>
  <c r="N9" i="11" s="1"/>
  <c r="I3" i="13"/>
  <c r="J3" i="13" l="1" a="1"/>
  <c r="J3" i="13" s="1"/>
  <c r="N8" i="9" s="1"/>
  <c r="N9" i="9" s="1"/>
  <c r="D7" i="12"/>
  <c r="O8" i="9"/>
  <c r="O9" i="9" s="1"/>
  <c r="N8" i="10"/>
  <c r="N9" i="10" s="1"/>
  <c r="I14" i="13" l="1"/>
  <c r="J14" i="13" s="1" a="1"/>
  <c r="J14" i="13" s="1"/>
  <c r="O15" i="9" s="1"/>
  <c r="O16" i="9" s="1"/>
  <c r="I11" i="13"/>
  <c r="J11" i="13" s="1" a="1"/>
  <c r="J11" i="13" s="1"/>
  <c r="N11" i="9"/>
  <c r="M8" i="11"/>
  <c r="M9" i="11" s="1"/>
  <c r="M11" i="11" s="1"/>
  <c r="M8" i="10"/>
  <c r="M9" i="10" s="1"/>
  <c r="M11" i="10" s="1"/>
  <c r="H3" i="12" l="1"/>
  <c r="J3" i="12" s="1"/>
  <c r="N15" i="11"/>
  <c r="N16" i="11" s="1"/>
  <c r="N15" i="10"/>
  <c r="N16" i="10" s="1"/>
  <c r="N15" i="9"/>
  <c r="N16" i="9" s="1"/>
  <c r="N18" i="9" s="1"/>
  <c r="M15" i="11"/>
  <c r="M16" i="11" s="1"/>
  <c r="M15" i="10"/>
  <c r="M16" i="10" s="1"/>
  <c r="I3" i="12" l="1"/>
  <c r="K3" i="12"/>
  <c r="M18" i="10"/>
  <c r="M18" i="11"/>
  <c r="H7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<sst xmlns="http://schemas.openxmlformats.org/spreadsheetml/2006/main" count="1163" uniqueCount="571">
  <si>
    <t xml:space="preserve">NOMBRE </t>
  </si>
  <si>
    <t>TIPO</t>
  </si>
  <si>
    <t>ESPECIES POR CATEGORIA</t>
  </si>
  <si>
    <t>Abarco</t>
  </si>
  <si>
    <t>Selección</t>
  </si>
  <si>
    <t>ESPECIE</t>
  </si>
  <si>
    <t>ABARCADURA CM</t>
  </si>
  <si>
    <t>ALTURA COMERCIAL MTS (RESTAR ALTURA TOTAL)</t>
  </si>
  <si>
    <t>VALOR UNITARIO 40%</t>
  </si>
  <si>
    <t>Valor al 60%</t>
  </si>
  <si>
    <t>Valor al 70%</t>
  </si>
  <si>
    <t>valor al 100%</t>
  </si>
  <si>
    <t>Acacia</t>
  </si>
  <si>
    <t>Segunda</t>
  </si>
  <si>
    <t>Chingalé</t>
  </si>
  <si>
    <t>Acacia Forrajera</t>
  </si>
  <si>
    <t>Tercera</t>
  </si>
  <si>
    <t>Acacia japonesa</t>
  </si>
  <si>
    <t>ESPECIES POR SELECCIÓN</t>
  </si>
  <si>
    <t xml:space="preserve">Aceite maría </t>
  </si>
  <si>
    <t>Primera</t>
  </si>
  <si>
    <t>VALOR UNITARIO</t>
  </si>
  <si>
    <t>Aceite yumbe</t>
  </si>
  <si>
    <t>Aceituno</t>
  </si>
  <si>
    <t>Acumico</t>
  </si>
  <si>
    <t>CANTIDAD</t>
  </si>
  <si>
    <t>Total</t>
  </si>
  <si>
    <t>Acurruco</t>
  </si>
  <si>
    <t>Aguacate</t>
  </si>
  <si>
    <t>Aguacatillo</t>
  </si>
  <si>
    <t>Aguanoso</t>
  </si>
  <si>
    <t>Aguarrás</t>
  </si>
  <si>
    <t>Ají de monte</t>
  </si>
  <si>
    <t>Ají sabana</t>
  </si>
  <si>
    <t>Ajicillo</t>
  </si>
  <si>
    <t>Ajujuay</t>
  </si>
  <si>
    <t>Alambre</t>
  </si>
  <si>
    <t>Albizia</t>
  </si>
  <si>
    <t>Algarrobillo</t>
  </si>
  <si>
    <t>Algarrobo</t>
  </si>
  <si>
    <t>Algodonsillo</t>
  </si>
  <si>
    <t>Aliso</t>
  </si>
  <si>
    <t>Amarillon</t>
  </si>
  <si>
    <t>Arayá</t>
  </si>
  <si>
    <t>Aro</t>
  </si>
  <si>
    <t>Arrayán</t>
  </si>
  <si>
    <t>Asauco</t>
  </si>
  <si>
    <t>Azulito</t>
  </si>
  <si>
    <t>Balaustre</t>
  </si>
  <si>
    <t>Balsamo macho</t>
  </si>
  <si>
    <t>Balsillo</t>
  </si>
  <si>
    <t>Balso</t>
  </si>
  <si>
    <t>segunda</t>
  </si>
  <si>
    <t>Baranoa</t>
  </si>
  <si>
    <t>Barbasco</t>
  </si>
  <si>
    <t>Bolombolo</t>
  </si>
  <si>
    <t>Búcaró</t>
  </si>
  <si>
    <t>Café</t>
  </si>
  <si>
    <t>Cafilo</t>
  </si>
  <si>
    <t>Caimito</t>
  </si>
  <si>
    <t>Caoba</t>
  </si>
  <si>
    <t>Calambuco</t>
  </si>
  <si>
    <t>Calentura</t>
  </si>
  <si>
    <t>Camajon</t>
  </si>
  <si>
    <t>Campano</t>
  </si>
  <si>
    <t>Cañafistulo</t>
  </si>
  <si>
    <t>Cañaguate</t>
  </si>
  <si>
    <t>Cañañola</t>
  </si>
  <si>
    <t>Capacho</t>
  </si>
  <si>
    <t>Caracoli</t>
  </si>
  <si>
    <t>Caraeyuca</t>
  </si>
  <si>
    <t>Carahuasca</t>
  </si>
  <si>
    <t>Carate</t>
  </si>
  <si>
    <t>Carbonero</t>
  </si>
  <si>
    <t>Carito</t>
  </si>
  <si>
    <t>Caucho</t>
  </si>
  <si>
    <t>Cedrillo</t>
  </si>
  <si>
    <t>Cedrito</t>
  </si>
  <si>
    <t>Cedro</t>
  </si>
  <si>
    <t>Cedro amargo</t>
  </si>
  <si>
    <t>Cedro amarillo</t>
  </si>
  <si>
    <t>Cedro andino</t>
  </si>
  <si>
    <t>Cedro blanco</t>
  </si>
  <si>
    <t>TOTAL</t>
  </si>
  <si>
    <t>Cedro caoba</t>
  </si>
  <si>
    <t>Cedro cebolla</t>
  </si>
  <si>
    <t>Cedro clavel</t>
  </si>
  <si>
    <t>Cedro dulce</t>
  </si>
  <si>
    <t>Cedro espinoso</t>
  </si>
  <si>
    <t>Cedro madre</t>
  </si>
  <si>
    <t>Cedro negro</t>
  </si>
  <si>
    <t>Cedro oloroso</t>
  </si>
  <si>
    <t>Cedrón</t>
  </si>
  <si>
    <t>Ceiba</t>
  </si>
  <si>
    <t>Ceiba amarilla</t>
  </si>
  <si>
    <t>Ceiba Barrigona</t>
  </si>
  <si>
    <t>Ceiba blanca</t>
  </si>
  <si>
    <t xml:space="preserve">Ceiba bonga </t>
  </si>
  <si>
    <t>Ceiba colorada</t>
  </si>
  <si>
    <t>Ceiba de lana</t>
  </si>
  <si>
    <t>Ceiba de leche</t>
  </si>
  <si>
    <t>Ceiba tolúa</t>
  </si>
  <si>
    <t>Ceiba verde</t>
  </si>
  <si>
    <t>Ceíbabuya</t>
  </si>
  <si>
    <t>Cerezo</t>
  </si>
  <si>
    <t>Chachajo</t>
  </si>
  <si>
    <t>Chacho</t>
  </si>
  <si>
    <t>Chaco</t>
  </si>
  <si>
    <t>Chagualo</t>
  </si>
  <si>
    <t>Chaguero</t>
  </si>
  <si>
    <t>Chancán</t>
  </si>
  <si>
    <t>Chaparro</t>
  </si>
  <si>
    <t>Chapo o achapo</t>
  </si>
  <si>
    <t>Chaquiro</t>
  </si>
  <si>
    <t>Chicalá</t>
  </si>
  <si>
    <t>Chichero chicho</t>
  </si>
  <si>
    <t>Chigua o chicua</t>
  </si>
  <si>
    <t>Chilco</t>
  </si>
  <si>
    <t>Chiminango</t>
  </si>
  <si>
    <t>Chiraco</t>
  </si>
  <si>
    <t>Chirco</t>
  </si>
  <si>
    <t>Chiriguaco</t>
  </si>
  <si>
    <t>Chirriador</t>
  </si>
  <si>
    <t>Chivalo, Chitato</t>
  </si>
  <si>
    <t>Chizos</t>
  </si>
  <si>
    <t>Choapos</t>
  </si>
  <si>
    <t>Chulo</t>
  </si>
  <si>
    <t>Chumbimbo</t>
  </si>
  <si>
    <t>Chumbino</t>
  </si>
  <si>
    <t>Chupagacho</t>
  </si>
  <si>
    <t>Churimo</t>
  </si>
  <si>
    <t>Cinco dedos</t>
  </si>
  <si>
    <t>Ciprés</t>
  </si>
  <si>
    <t>Cirpo</t>
  </si>
  <si>
    <t>Coca</t>
  </si>
  <si>
    <t>Cocaríllo</t>
  </si>
  <si>
    <t>Coco abarco</t>
  </si>
  <si>
    <t>Coco blanco</t>
  </si>
  <si>
    <t>Coco cabuvo</t>
  </si>
  <si>
    <t>Coco cristal</t>
  </si>
  <si>
    <t>Coco hediondo</t>
  </si>
  <si>
    <t>Coco vial</t>
  </si>
  <si>
    <t>Cocú</t>
  </si>
  <si>
    <t>Cocuelo</t>
  </si>
  <si>
    <t>Cojon de burro</t>
  </si>
  <si>
    <t>Colmillo Saino</t>
  </si>
  <si>
    <t>Colorado</t>
  </si>
  <si>
    <t>Combo</t>
  </si>
  <si>
    <t>Comino</t>
  </si>
  <si>
    <t>Congo</t>
  </si>
  <si>
    <t>Cope</t>
  </si>
  <si>
    <t>Copey</t>
  </si>
  <si>
    <t>Copillo</t>
  </si>
  <si>
    <t>coralibe</t>
  </si>
  <si>
    <t>Corcho</t>
  </si>
  <si>
    <t>Cordoncillo</t>
  </si>
  <si>
    <t>Corizao</t>
  </si>
  <si>
    <t>Cornarus</t>
  </si>
  <si>
    <t>Coronado</t>
  </si>
  <si>
    <t>Coronillo</t>
  </si>
  <si>
    <t>Cosio</t>
  </si>
  <si>
    <t>Cruceto</t>
  </si>
  <si>
    <t>Cuángare</t>
  </si>
  <si>
    <t>Cuchareto</t>
  </si>
  <si>
    <t>Cucharo</t>
  </si>
  <si>
    <t>Cuchillito</t>
  </si>
  <si>
    <t>Cuchimbo</t>
  </si>
  <si>
    <t>Cuipo</t>
  </si>
  <si>
    <t>Curapán</t>
  </si>
  <si>
    <t>Cusi</t>
  </si>
  <si>
    <t>Dinde</t>
  </si>
  <si>
    <t>Diomate</t>
  </si>
  <si>
    <t>Dividivi</t>
  </si>
  <si>
    <t xml:space="preserve">Doncel </t>
  </si>
  <si>
    <t>Dorado</t>
  </si>
  <si>
    <t>Dormilón</t>
  </si>
  <si>
    <t>Dulomoco</t>
  </si>
  <si>
    <t>Ébano</t>
  </si>
  <si>
    <t>Encenillo</t>
  </si>
  <si>
    <t>Escobo</t>
  </si>
  <si>
    <t>Escoto</t>
  </si>
  <si>
    <t>Espadero</t>
  </si>
  <si>
    <t>Espino</t>
  </si>
  <si>
    <t>Eucalipto</t>
  </si>
  <si>
    <t>Eucalipto gris</t>
  </si>
  <si>
    <t>Flor de santo</t>
  </si>
  <si>
    <t>Floramarillo</t>
  </si>
  <si>
    <t>Fremo</t>
  </si>
  <si>
    <t>Fresno</t>
  </si>
  <si>
    <t>Frijolillo</t>
  </si>
  <si>
    <t>Frijolito</t>
  </si>
  <si>
    <t>Frisolillo</t>
  </si>
  <si>
    <t>Frutepavo</t>
  </si>
  <si>
    <t>Funambuco</t>
  </si>
  <si>
    <t>Fustete</t>
  </si>
  <si>
    <t>Gallinazo</t>
  </si>
  <si>
    <t>Gallinero</t>
  </si>
  <si>
    <t>Gaque</t>
  </si>
  <si>
    <t>Garrapateador</t>
  </si>
  <si>
    <t>Garrapato</t>
  </si>
  <si>
    <t>Genízaro</t>
  </si>
  <si>
    <t>Granadillo</t>
  </si>
  <si>
    <t>Granizo</t>
  </si>
  <si>
    <t>Guacamayo</t>
  </si>
  <si>
    <t>Guacharaco</t>
  </si>
  <si>
    <t>Guácimo</t>
  </si>
  <si>
    <t>Guadua</t>
  </si>
  <si>
    <t>Guáimaro</t>
  </si>
  <si>
    <t>Guájaro</t>
  </si>
  <si>
    <t>Gualanday</t>
  </si>
  <si>
    <t>Guama vacioto</t>
  </si>
  <si>
    <t>Guamacho</t>
  </si>
  <si>
    <t>Guamillo</t>
  </si>
  <si>
    <t xml:space="preserve">Guamo </t>
  </si>
  <si>
    <t>Guamo bejuco</t>
  </si>
  <si>
    <t>Guanáb.monte</t>
  </si>
  <si>
    <t>Guanabanito</t>
  </si>
  <si>
    <t xml:space="preserve">Tercera </t>
  </si>
  <si>
    <t>Guanacona</t>
  </si>
  <si>
    <t>Guapinal</t>
  </si>
  <si>
    <t>Guarango</t>
  </si>
  <si>
    <t>Guarea</t>
  </si>
  <si>
    <t>Guarimán</t>
  </si>
  <si>
    <t>Guarrataro</t>
  </si>
  <si>
    <t>Guarumo</t>
  </si>
  <si>
    <t>Guayabo</t>
  </si>
  <si>
    <t>Guayabo Danto</t>
  </si>
  <si>
    <t>Guayaboemico</t>
  </si>
  <si>
    <t xml:space="preserve">Guayac.monte </t>
  </si>
  <si>
    <t>Guayac.playa</t>
  </si>
  <si>
    <t>Guayac.rosado</t>
  </si>
  <si>
    <t xml:space="preserve">Guayacán </t>
  </si>
  <si>
    <t>Guayacán.amil</t>
  </si>
  <si>
    <t>Guayacozanca</t>
  </si>
  <si>
    <t>Guino</t>
  </si>
  <si>
    <t>Gumbolumbo</t>
  </si>
  <si>
    <t>Gusanero</t>
  </si>
  <si>
    <t>Gustavia</t>
  </si>
  <si>
    <t>Habilla</t>
  </si>
  <si>
    <t>Hermoso</t>
  </si>
  <si>
    <t>Higo</t>
  </si>
  <si>
    <t>Higueron</t>
  </si>
  <si>
    <t>Higuerón</t>
  </si>
  <si>
    <t>Higuito</t>
  </si>
  <si>
    <t>Hobo</t>
  </si>
  <si>
    <t xml:space="preserve">Hoguín </t>
  </si>
  <si>
    <t>Hojamenuda</t>
  </si>
  <si>
    <t>Hojancha</t>
  </si>
  <si>
    <t>Hojarasca</t>
  </si>
  <si>
    <t>Hoyuelo</t>
  </si>
  <si>
    <t>Hueso</t>
  </si>
  <si>
    <t>Huevo de toro</t>
  </si>
  <si>
    <t>Indio desnudo</t>
  </si>
  <si>
    <t>Jabillo</t>
  </si>
  <si>
    <t>Jaboncillo</t>
  </si>
  <si>
    <t>Jacote trailer</t>
  </si>
  <si>
    <t>Jagua</t>
  </si>
  <si>
    <t>Jara</t>
  </si>
  <si>
    <t>Jaure</t>
  </si>
  <si>
    <t>Jigua</t>
  </si>
  <si>
    <t>Jigua negro</t>
  </si>
  <si>
    <t>Jobo</t>
  </si>
  <si>
    <t>Jobo de castil!a</t>
  </si>
  <si>
    <t>Lacre</t>
  </si>
  <si>
    <t>Lano</t>
  </si>
  <si>
    <t>Lanzo</t>
  </si>
  <si>
    <t>Larú</t>
  </si>
  <si>
    <t>Látigo</t>
  </si>
  <si>
    <t>Laurel</t>
  </si>
  <si>
    <t>Laurel amarillo</t>
  </si>
  <si>
    <t>Laurel blanco</t>
  </si>
  <si>
    <t>Laurel comino</t>
  </si>
  <si>
    <t>Laurel negro</t>
  </si>
  <si>
    <t>Laurel niguito</t>
  </si>
  <si>
    <t>Laurel olivo</t>
  </si>
  <si>
    <t>Lechero</t>
  </si>
  <si>
    <t>Lechoso</t>
  </si>
  <si>
    <t>Leucaena</t>
  </si>
  <si>
    <t>lguá</t>
  </si>
  <si>
    <t xml:space="preserve">Limón mandarino </t>
  </si>
  <si>
    <t>Locito</t>
  </si>
  <si>
    <t>Lomoe caimán</t>
  </si>
  <si>
    <t>Macana</t>
  </si>
  <si>
    <t>Macano</t>
  </si>
  <si>
    <t>Machere</t>
  </si>
  <si>
    <t>Macondo</t>
  </si>
  <si>
    <t>Macuiro</t>
  </si>
  <si>
    <t>Madrecacao</t>
  </si>
  <si>
    <t>Majagua</t>
  </si>
  <si>
    <t>Majagua colorá</t>
  </si>
  <si>
    <t xml:space="preserve">Majagua gallina </t>
  </si>
  <si>
    <t>Majaguito</t>
  </si>
  <si>
    <t>Majumba</t>
  </si>
  <si>
    <t>Malagano</t>
  </si>
  <si>
    <t>Malaguito</t>
  </si>
  <si>
    <t>Malangolo</t>
  </si>
  <si>
    <t>Mancacabalo</t>
  </si>
  <si>
    <t>Manchador</t>
  </si>
  <si>
    <t>Mango</t>
  </si>
  <si>
    <t>Mansa mujer</t>
  </si>
  <si>
    <t>Mapuríto</t>
  </si>
  <si>
    <t>Mariangola</t>
  </si>
  <si>
    <t>Matarratón</t>
  </si>
  <si>
    <t>Matisiro</t>
  </si>
  <si>
    <t>Mazábalo</t>
  </si>
  <si>
    <t>Melao</t>
  </si>
  <si>
    <t>Melina</t>
  </si>
  <si>
    <t>Merey</t>
  </si>
  <si>
    <t>Mestizo</t>
  </si>
  <si>
    <t>Micher</t>
  </si>
  <si>
    <t>Miel quemada</t>
  </si>
  <si>
    <t>Mija majagua</t>
  </si>
  <si>
    <t>Mimbre</t>
  </si>
  <si>
    <t>Mohino</t>
  </si>
  <si>
    <t>Moho</t>
  </si>
  <si>
    <t>Moncoro</t>
  </si>
  <si>
    <t>Mondarrejo</t>
  </si>
  <si>
    <t>Monraña</t>
  </si>
  <si>
    <t>Montefrio</t>
  </si>
  <si>
    <t>Moquino</t>
  </si>
  <si>
    <t>Mora</t>
  </si>
  <si>
    <t>Mortecino</t>
  </si>
  <si>
    <t>Mula muerta</t>
  </si>
  <si>
    <t>Mulato</t>
  </si>
  <si>
    <t>Muñeco</t>
  </si>
  <si>
    <t>Nacedero</t>
  </si>
  <si>
    <t>Naranjillo</t>
  </si>
  <si>
    <t>Naranjito</t>
  </si>
  <si>
    <t>Naranjo</t>
  </si>
  <si>
    <t>Naranjuelo</t>
  </si>
  <si>
    <t>Nauno</t>
  </si>
  <si>
    <t>Nazareno</t>
  </si>
  <si>
    <t>Neem</t>
  </si>
  <si>
    <t xml:space="preserve">Negrillo </t>
  </si>
  <si>
    <t>Nigua</t>
  </si>
  <si>
    <t>Níguito</t>
  </si>
  <si>
    <t>Nim</t>
  </si>
  <si>
    <t>Nispero</t>
  </si>
  <si>
    <t>Nogal</t>
  </si>
  <si>
    <t>Nogal bogotano</t>
  </si>
  <si>
    <t>Nogal cafetero</t>
  </si>
  <si>
    <t>Nuez del pará</t>
  </si>
  <si>
    <t>Ñipi Ñipi</t>
  </si>
  <si>
    <t>Ocobo</t>
  </si>
  <si>
    <t>Oguín</t>
  </si>
  <si>
    <t>Ojo de Palomo</t>
  </si>
  <si>
    <t>Olivo</t>
  </si>
  <si>
    <t>Olla de mono</t>
  </si>
  <si>
    <t>Orejero</t>
  </si>
  <si>
    <t>Osito de nena</t>
  </si>
  <si>
    <t>Overo</t>
  </si>
  <si>
    <t>Paio de cruz</t>
  </si>
  <si>
    <t>Palanco</t>
  </si>
  <si>
    <t>Palma amarga</t>
  </si>
  <si>
    <t>Palma corozo</t>
  </si>
  <si>
    <t>Palma de coco</t>
  </si>
  <si>
    <t>Palma de vino</t>
  </si>
  <si>
    <t>Palma dulce</t>
  </si>
  <si>
    <t>Palma helecho</t>
  </si>
  <si>
    <t>Palma maracay</t>
  </si>
  <si>
    <t>Palma real de cuba</t>
  </si>
  <si>
    <t>Palma solitaria</t>
  </si>
  <si>
    <t>Palmiche</t>
  </si>
  <si>
    <t>Palo blanco</t>
  </si>
  <si>
    <t>Palo brasil</t>
  </si>
  <si>
    <t>Palo cruz</t>
  </si>
  <si>
    <t>palo de Agua</t>
  </si>
  <si>
    <t>Palo de águila</t>
  </si>
  <si>
    <t>Palo de balsa</t>
  </si>
  <si>
    <t>Palo de burro</t>
  </si>
  <si>
    <t>Palo de rosa</t>
  </si>
  <si>
    <t>Palo de vaca</t>
  </si>
  <si>
    <t>Palo María</t>
  </si>
  <si>
    <t>Palo mora</t>
  </si>
  <si>
    <t>Palo santo</t>
  </si>
  <si>
    <t>Palo seca</t>
  </si>
  <si>
    <t>Paneto</t>
  </si>
  <si>
    <t>Papayote</t>
  </si>
  <si>
    <t>Pararrayos</t>
  </si>
  <si>
    <t>Pardillo</t>
  </si>
  <si>
    <t>Pasito</t>
  </si>
  <si>
    <t xml:space="preserve">pategallina </t>
  </si>
  <si>
    <t xml:space="preserve">Pategarza </t>
  </si>
  <si>
    <t>Payandé</t>
  </si>
  <si>
    <t>Pechoe perdiz</t>
  </si>
  <si>
    <t>Peloto</t>
  </si>
  <si>
    <t>Pepa de sábalo</t>
  </si>
  <si>
    <t>Pepo</t>
  </si>
  <si>
    <t>Pera</t>
  </si>
  <si>
    <t>Perico</t>
  </si>
  <si>
    <t>Perillo</t>
  </si>
  <si>
    <t>Perón</t>
  </si>
  <si>
    <t>Peronillo</t>
  </si>
  <si>
    <t>Perú bambuco</t>
  </si>
  <si>
    <t>Pietamón</t>
  </si>
  <si>
    <t>Pigio</t>
  </si>
  <si>
    <t>Pilón</t>
  </si>
  <si>
    <t>Pimiento</t>
  </si>
  <si>
    <t>Pino</t>
  </si>
  <si>
    <t>Pino criollo</t>
  </si>
  <si>
    <t>Pino pátula</t>
  </si>
  <si>
    <t>Pino real</t>
  </si>
  <si>
    <t>Pino rojo</t>
  </si>
  <si>
    <t>Piñón de oreja</t>
  </si>
  <si>
    <t>Pisquín</t>
  </si>
  <si>
    <t>Pivijay</t>
  </si>
  <si>
    <t>Plato</t>
  </si>
  <si>
    <t>Polrico</t>
  </si>
  <si>
    <t>Polvillo</t>
  </si>
  <si>
    <t>Pomarrón</t>
  </si>
  <si>
    <t>Pomarroso</t>
  </si>
  <si>
    <t>Pouteria</t>
  </si>
  <si>
    <t>Puerto</t>
  </si>
  <si>
    <t>Pulgacion</t>
  </si>
  <si>
    <t>Puntelanza</t>
  </si>
  <si>
    <t>Purga</t>
  </si>
  <si>
    <t>Quesero</t>
  </si>
  <si>
    <t>Quiebracha</t>
  </si>
  <si>
    <t>Quimulá</t>
  </si>
  <si>
    <t>Quinola</t>
  </si>
  <si>
    <t>Rabito</t>
  </si>
  <si>
    <t>Raiján rajado</t>
  </si>
  <si>
    <t>Raspador</t>
  </si>
  <si>
    <t>Raspayuco</t>
  </si>
  <si>
    <t>Rayán</t>
  </si>
  <si>
    <t>Rayo</t>
  </si>
  <si>
    <t>Resbalamono</t>
  </si>
  <si>
    <t>Riñón</t>
  </si>
  <si>
    <t>Roble</t>
  </si>
  <si>
    <t>Roble amarillo</t>
  </si>
  <si>
    <t xml:space="preserve">Roble de  tierra fria </t>
  </si>
  <si>
    <t>Roble morado</t>
  </si>
  <si>
    <t>Roble rosado</t>
  </si>
  <si>
    <t>Sabana</t>
  </si>
  <si>
    <t>Sajino</t>
  </si>
  <si>
    <t>Salsa</t>
  </si>
  <si>
    <t>Salvio</t>
  </si>
  <si>
    <t>Samagurre</t>
  </si>
  <si>
    <t>Samán</t>
  </si>
  <si>
    <t>San Miguel</t>
  </si>
  <si>
    <t>Sande</t>
  </si>
  <si>
    <t>Sangregao</t>
  </si>
  <si>
    <t>Sangretoro</t>
  </si>
  <si>
    <t>Santacruz</t>
  </si>
  <si>
    <t>Sapo</t>
  </si>
  <si>
    <t>Sapoli</t>
  </si>
  <si>
    <t>Saucecolorado</t>
  </si>
  <si>
    <t>Sáuco</t>
  </si>
  <si>
    <t>Seian</t>
  </si>
  <si>
    <t>Serrajo</t>
  </si>
  <si>
    <t>Sierpe</t>
  </si>
  <si>
    <t>Siete cascas</t>
  </si>
  <si>
    <t>Sietecueros</t>
  </si>
  <si>
    <t>Sietenero</t>
  </si>
  <si>
    <t>Solera</t>
  </si>
  <si>
    <t>Soruro</t>
  </si>
  <si>
    <t>Sota</t>
  </si>
  <si>
    <t>Soto</t>
  </si>
  <si>
    <t>Sueldo</t>
  </si>
  <si>
    <t>Swinglea</t>
  </si>
  <si>
    <t>Tababotijo</t>
  </si>
  <si>
    <t>Tabaca</t>
  </si>
  <si>
    <t>Tabaide</t>
  </si>
  <si>
    <t>Tabaquemonte</t>
  </si>
  <si>
    <t>Tabaquillo</t>
  </si>
  <si>
    <t>Tachuelo</t>
  </si>
  <si>
    <t>Tacualo</t>
  </si>
  <si>
    <t>Taibara</t>
  </si>
  <si>
    <t>Tamanaco</t>
  </si>
  <si>
    <t>Tambolero</t>
  </si>
  <si>
    <t>Tangare</t>
  </si>
  <si>
    <t>Taray</t>
  </si>
  <si>
    <t>Tarro</t>
  </si>
  <si>
    <t>Teca</t>
  </si>
  <si>
    <t>Tigre</t>
  </si>
  <si>
    <t>Tijereto</t>
  </si>
  <si>
    <t>Tiotío</t>
  </si>
  <si>
    <t>Tiraco</t>
  </si>
  <si>
    <t>Tiraga</t>
  </si>
  <si>
    <t>Tiribago</t>
  </si>
  <si>
    <t>Toca</t>
  </si>
  <si>
    <t>Tocino</t>
  </si>
  <si>
    <t>ToIú</t>
  </si>
  <si>
    <t>Toloncayo</t>
  </si>
  <si>
    <t>Tolúa</t>
  </si>
  <si>
    <t>Tostao</t>
  </si>
  <si>
    <t>Totumero</t>
  </si>
  <si>
    <t>Totumo</t>
  </si>
  <si>
    <t>Trebol</t>
  </si>
  <si>
    <t>Trébol negro</t>
  </si>
  <si>
    <t>Trementino</t>
  </si>
  <si>
    <t>Trobillo</t>
  </si>
  <si>
    <t>Tromentosa</t>
  </si>
  <si>
    <t>Trompillo</t>
  </si>
  <si>
    <t>Trompito</t>
  </si>
  <si>
    <t>Tronador</t>
  </si>
  <si>
    <t>Trupillo</t>
  </si>
  <si>
    <t>Trusamba</t>
  </si>
  <si>
    <t>Tuno</t>
  </si>
  <si>
    <t>Uña de Puerco</t>
  </si>
  <si>
    <t>Urapán</t>
  </si>
  <si>
    <t>Uvero</t>
  </si>
  <si>
    <t>Uvito</t>
  </si>
  <si>
    <t>Vaco</t>
  </si>
  <si>
    <t>Vacuna</t>
  </si>
  <si>
    <t>Vainepájaro</t>
  </si>
  <si>
    <t>Vainilla</t>
  </si>
  <si>
    <t>Vara de humo</t>
  </si>
  <si>
    <t>Vara de paloma</t>
  </si>
  <si>
    <t>Varablanca</t>
  </si>
  <si>
    <t>Varasanta</t>
  </si>
  <si>
    <t>Velanda</t>
  </si>
  <si>
    <t>Verraco</t>
  </si>
  <si>
    <t>Villanueva</t>
  </si>
  <si>
    <t>Virola</t>
  </si>
  <si>
    <t>viva seca</t>
  </si>
  <si>
    <t>Vivaseca</t>
  </si>
  <si>
    <t>Volador</t>
  </si>
  <si>
    <t>Yaba</t>
  </si>
  <si>
    <t>Yamaquin</t>
  </si>
  <si>
    <t>Yamote</t>
  </si>
  <si>
    <t>Yampas</t>
  </si>
  <si>
    <t>Yaque</t>
  </si>
  <si>
    <t>Yarumo</t>
  </si>
  <si>
    <t>Yatago</t>
  </si>
  <si>
    <t>Yaya</t>
  </si>
  <si>
    <t>Yolombo</t>
  </si>
  <si>
    <t xml:space="preserve">Yuco </t>
  </si>
  <si>
    <t>Zambo</t>
  </si>
  <si>
    <t>Zambo cedro</t>
  </si>
  <si>
    <t>Zapán</t>
  </si>
  <si>
    <t>Zapote</t>
  </si>
  <si>
    <t>Zapote Monte</t>
  </si>
  <si>
    <t>Zapotillo</t>
  </si>
  <si>
    <t>Zarro</t>
  </si>
  <si>
    <t>Zoqueta</t>
  </si>
  <si>
    <t>Zorro</t>
  </si>
  <si>
    <t>Zorrochoco</t>
  </si>
  <si>
    <t>Zurrumbo</t>
  </si>
  <si>
    <t>MADERA FINA O DE PRIMERA</t>
  </si>
  <si>
    <t>CAP en mts</t>
  </si>
  <si>
    <t>DAP</t>
  </si>
  <si>
    <t>Diametro en metros</t>
  </si>
  <si>
    <t>CAP</t>
  </si>
  <si>
    <t>Perimetro en metros</t>
  </si>
  <si>
    <t>ALTURA COMERCIAL (M)</t>
  </si>
  <si>
    <t>CAP USURIO</t>
  </si>
  <si>
    <t>ALTURA</t>
  </si>
  <si>
    <t>DATOS</t>
  </si>
  <si>
    <t>POSICION</t>
  </si>
  <si>
    <t>Valor unitario</t>
  </si>
  <si>
    <t>MADERA REGULAR O DE SEGUNDA</t>
  </si>
  <si>
    <t>MADERA ORDINARIA O DE TERCERA</t>
  </si>
  <si>
    <t>PRIMERA</t>
  </si>
  <si>
    <t>SEGUNDA</t>
  </si>
  <si>
    <t>TERCERA</t>
  </si>
  <si>
    <t>LISTA</t>
  </si>
  <si>
    <t>POSICIÓN</t>
  </si>
  <si>
    <t>RANGO CAP</t>
  </si>
  <si>
    <t>RANGO ALTURA</t>
  </si>
  <si>
    <t>CAP USUARIO</t>
  </si>
  <si>
    <t>CAP AJUSTADO</t>
  </si>
  <si>
    <t>ALT USUARIO</t>
  </si>
  <si>
    <t>ALT AJUSTADO</t>
  </si>
  <si>
    <t>ABARCADURA</t>
  </si>
  <si>
    <t>VALOR IPC 2025</t>
  </si>
  <si>
    <t>VALOR BASE IPC 2018</t>
  </si>
  <si>
    <t>INDICE VALOR</t>
  </si>
  <si>
    <t>VALOR al 40%</t>
  </si>
  <si>
    <t xml:space="preserve">ACACIA </t>
  </si>
  <si>
    <t>POLVILLO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</si>
</sst>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* #,##0_-;\-&quot;$&quot;* #,##0_-;_-&quot;$&quot;* &quot;-&quot;_-;_-@_-"/>
    <numFmt numFmtId="165" formatCode="0.000"/>
    <numFmt numFmtId="166" formatCode="[$$-240A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7F82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9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0" borderId="0" xfId="0" applyFont="1"/>
    <xf numFmtId="164" fontId="0" fillId="0" borderId="1" xfId="1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0" fillId="0" borderId="7" xfId="1" applyFont="1" applyBorder="1"/>
    <xf numFmtId="0" fontId="4" fillId="0" borderId="1" xfId="0" applyFont="1" applyBorder="1"/>
    <xf numFmtId="0" fontId="6" fillId="0" borderId="8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165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9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0" fontId="10" fillId="0" borderId="8" xfId="0" applyFont="1" applyBorder="1"/>
    <xf numFmtId="44" fontId="0" fillId="0" borderId="1" xfId="3" applyFont="1" applyBorder="1" applyAlignment="1">
      <alignment horizontal="center" vertical="center"/>
    </xf>
    <xf numFmtId="44" fontId="0" fillId="0" borderId="1" xfId="3" applyFont="1" applyBorder="1"/>
    <xf numFmtId="44" fontId="0" fillId="0" borderId="1" xfId="0" applyNumberForma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44" fontId="0" fillId="0" borderId="13" xfId="3" applyFont="1" applyBorder="1"/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44" fontId="0" fillId="0" borderId="17" xfId="3" applyFont="1" applyBorder="1" applyAlignment="1">
      <alignment horizontal="center" vertical="center"/>
    </xf>
    <xf numFmtId="44" fontId="0" fillId="0" borderId="17" xfId="3" applyFont="1" applyBorder="1"/>
    <xf numFmtId="44" fontId="0" fillId="0" borderId="18" xfId="3" applyFont="1" applyBorder="1"/>
    <xf numFmtId="44" fontId="0" fillId="8" borderId="8" xfId="0" applyNumberForma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9" fontId="2" fillId="9" borderId="10" xfId="0" applyNumberFormat="1" applyFont="1" applyFill="1" applyBorder="1" applyAlignment="1">
      <alignment horizontal="center" vertical="center" wrapText="1"/>
    </xf>
    <xf numFmtId="9" fontId="2" fillId="9" borderId="11" xfId="0" applyNumberFormat="1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44" fontId="0" fillId="0" borderId="13" xfId="0" applyNumberFormat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</cellXfs>
  <cellStyles count="4">
    <cellStyle name="Moneda" xfId="3" builtinId="4"/>
    <cellStyle name="Moneda [0]" xfId="1" builtinId="7"/>
    <cellStyle name="Normal" xfId="0" builtinId="0"/>
    <cellStyle name="Normal 2 2" xfId="2" xr:uid="{00000000-0005-0000-0000-000002000000}"/>
  </cellStyles>
  <dxfs count="2"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7F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A4C5-C2F5-4B0A-B59E-95916D48C735}">
  <dimension ref="A1:H17"/>
  <sheetViews>
    <sheetView tabSelected="1" workbookViewId="0">
      <selection activeCell="N14" sqref="N14"/>
    </sheetView>
  </sheetViews>
  <sheetFormatPr baseColWidth="10" defaultRowHeight="14.5" x14ac:dyDescent="0.35"/>
  <cols>
    <col min="1" max="1" width="9.90625" customWidth="1"/>
    <col min="2" max="2" width="14.08984375" bestFit="1" customWidth="1"/>
    <col min="3" max="4" width="15.08984375" style="20" customWidth="1"/>
    <col min="5" max="5" width="19.36328125" style="20" bestFit="1" customWidth="1"/>
    <col min="6" max="8" width="14.08984375" bestFit="1" customWidth="1"/>
  </cols>
  <sheetData>
    <row r="1" spans="1:8" x14ac:dyDescent="0.35">
      <c r="A1" s="55" t="s">
        <v>5</v>
      </c>
      <c r="B1" s="56" t="s">
        <v>1</v>
      </c>
      <c r="C1" s="56" t="s">
        <v>564</v>
      </c>
      <c r="D1" s="57" t="s">
        <v>547</v>
      </c>
      <c r="E1" s="56" t="s">
        <v>568</v>
      </c>
      <c r="F1" s="56" t="s">
        <v>9</v>
      </c>
      <c r="G1" s="56" t="s">
        <v>10</v>
      </c>
      <c r="H1" s="58" t="s">
        <v>11</v>
      </c>
    </row>
    <row r="2" spans="1:8" x14ac:dyDescent="0.35">
      <c r="A2" s="90" t="s">
        <v>569</v>
      </c>
      <c r="B2" s="2" t="s">
        <v>13</v>
      </c>
      <c r="C2" s="13">
        <v>106</v>
      </c>
      <c r="D2" s="13">
        <v>11.3</v>
      </c>
      <c r="E2" s="52">
        <v>184200</v>
      </c>
      <c r="F2" s="53">
        <v>276300</v>
      </c>
      <c r="G2" s="53">
        <v>322350</v>
      </c>
      <c r="H2" s="59">
        <v>460500</v>
      </c>
    </row>
    <row r="3" spans="1:8" x14ac:dyDescent="0.35">
      <c r="A3" s="90" t="s">
        <v>570</v>
      </c>
      <c r="B3" s="2" t="s">
        <v>20</v>
      </c>
      <c r="C3" s="13">
        <v>116</v>
      </c>
      <c r="D3" s="13">
        <v>20</v>
      </c>
      <c r="E3" s="52">
        <v>669920</v>
      </c>
      <c r="F3" s="53">
        <v>1004880</v>
      </c>
      <c r="G3" s="53">
        <v>1172360</v>
      </c>
      <c r="H3" s="59">
        <v>1674800</v>
      </c>
    </row>
    <row r="4" spans="1:8" x14ac:dyDescent="0.35">
      <c r="A4" s="90" t="s">
        <v>570</v>
      </c>
      <c r="B4" s="2" t="s">
        <v>20</v>
      </c>
      <c r="C4" s="13">
        <v>178</v>
      </c>
      <c r="D4" s="13">
        <v>17.8</v>
      </c>
      <c r="E4" s="52">
        <v>1366760</v>
      </c>
      <c r="F4" s="53">
        <v>2050140</v>
      </c>
      <c r="G4" s="53">
        <v>2391830</v>
      </c>
      <c r="H4" s="59">
        <v>3416900</v>
      </c>
    </row>
    <row r="5" spans="1:8" x14ac:dyDescent="0.35">
      <c r="A5" s="90" t="s">
        <v>569</v>
      </c>
      <c r="B5" s="2" t="s">
        <v>13</v>
      </c>
      <c r="C5" s="13">
        <v>136</v>
      </c>
      <c r="D5" s="13">
        <v>20</v>
      </c>
      <c r="E5" s="52">
        <v>524640</v>
      </c>
      <c r="F5" s="53">
        <v>786960</v>
      </c>
      <c r="G5" s="53">
        <v>918120</v>
      </c>
      <c r="H5" s="59">
        <v>1311600</v>
      </c>
    </row>
    <row r="6" spans="1:8" x14ac:dyDescent="0.35">
      <c r="A6" s="90" t="s">
        <v>569</v>
      </c>
      <c r="B6" s="2" t="s">
        <v>13</v>
      </c>
      <c r="C6" s="13">
        <v>151</v>
      </c>
      <c r="D6" s="13">
        <v>19.399999999999999</v>
      </c>
      <c r="E6" s="52">
        <v>649960</v>
      </c>
      <c r="F6" s="53">
        <v>974940</v>
      </c>
      <c r="G6" s="53">
        <v>1137430</v>
      </c>
      <c r="H6" s="59">
        <v>1624900</v>
      </c>
    </row>
    <row r="7" spans="1:8" x14ac:dyDescent="0.35">
      <c r="A7" s="90" t="s">
        <v>569</v>
      </c>
      <c r="B7" s="2" t="s">
        <v>13</v>
      </c>
      <c r="C7" s="13">
        <v>156</v>
      </c>
      <c r="D7" s="13">
        <v>20</v>
      </c>
      <c r="E7" s="52">
        <v>788520</v>
      </c>
      <c r="F7" s="53">
        <v>1182780</v>
      </c>
      <c r="G7" s="53">
        <v>1379910</v>
      </c>
      <c r="H7" s="59">
        <v>1971300</v>
      </c>
    </row>
    <row r="8" spans="1:8" x14ac:dyDescent="0.35">
      <c r="A8" s="90" t="s">
        <v>569</v>
      </c>
      <c r="B8" s="2" t="s">
        <v>13</v>
      </c>
      <c r="C8" s="13">
        <v>146</v>
      </c>
      <c r="D8" s="13">
        <v>17.600000000000001</v>
      </c>
      <c r="E8" s="52">
        <v>584000</v>
      </c>
      <c r="F8" s="53">
        <v>876000</v>
      </c>
      <c r="G8" s="53">
        <v>1022000</v>
      </c>
      <c r="H8" s="59">
        <v>1460000</v>
      </c>
    </row>
    <row r="9" spans="1:8" ht="15" thickBot="1" x14ac:dyDescent="0.4">
      <c r="A9" s="90" t="s">
        <v>569</v>
      </c>
      <c r="B9" s="62" t="s">
        <v>13</v>
      </c>
      <c r="C9" s="63">
        <v>154</v>
      </c>
      <c r="D9" s="63">
        <v>18.899999999999999</v>
      </c>
      <c r="E9" s="64">
        <v>649960</v>
      </c>
      <c r="F9" s="65">
        <v>974940</v>
      </c>
      <c r="G9" s="65">
        <v>1137430</v>
      </c>
      <c r="H9" s="66">
        <v>1624900</v>
      </c>
    </row>
    <row r="10" spans="1:8" ht="15" thickBot="1" x14ac:dyDescent="0.4">
      <c r="A10" s="74" t="s">
        <v>83</v>
      </c>
      <c r="B10" s="75"/>
      <c r="C10" s="76"/>
      <c r="D10" s="77"/>
      <c r="E10" s="67">
        <f>+SUM(E2:E9)</f>
        <v>5417960</v>
      </c>
      <c r="F10" s="67">
        <f t="shared" ref="F10:H10" si="0">+SUM(F2:F9)</f>
        <v>8126940</v>
      </c>
      <c r="G10" s="67">
        <f t="shared" si="0"/>
        <v>9481430</v>
      </c>
      <c r="H10" s="67">
        <f t="shared" si="0"/>
        <v>13544900</v>
      </c>
    </row>
    <row r="14" spans="1:8" ht="15" thickBot="1" x14ac:dyDescent="0.4"/>
    <row r="15" spans="1:8" ht="29" x14ac:dyDescent="0.35">
      <c r="A15" s="68" t="s">
        <v>567</v>
      </c>
      <c r="B15" s="69" t="str">
        <f>+E1</f>
        <v>VALOR al 40%</v>
      </c>
      <c r="C15" s="69" t="str">
        <f t="shared" ref="C15:E15" si="1">+F1</f>
        <v>Valor al 60%</v>
      </c>
      <c r="D15" s="69" t="str">
        <f t="shared" si="1"/>
        <v>Valor al 70%</v>
      </c>
      <c r="E15" s="70" t="str">
        <f t="shared" si="1"/>
        <v>valor al 100%</v>
      </c>
    </row>
    <row r="16" spans="1:8" ht="43.5" x14ac:dyDescent="0.35">
      <c r="A16" s="71" t="s">
        <v>566</v>
      </c>
      <c r="B16" s="54">
        <f>+E10</f>
        <v>5417960</v>
      </c>
      <c r="C16" s="54">
        <f t="shared" ref="C16:E16" si="2">+F10</f>
        <v>8126940</v>
      </c>
      <c r="D16" s="54">
        <f t="shared" si="2"/>
        <v>9481430</v>
      </c>
      <c r="E16" s="72">
        <f t="shared" si="2"/>
        <v>13544900</v>
      </c>
    </row>
    <row r="17" spans="1:5" ht="29.5" thickBot="1" x14ac:dyDescent="0.4">
      <c r="A17" s="73" t="s">
        <v>565</v>
      </c>
      <c r="B17" s="60">
        <v>8252000</v>
      </c>
      <c r="C17" s="60">
        <v>12379000</v>
      </c>
      <c r="D17" s="60">
        <v>14438000</v>
      </c>
      <c r="E17" s="61">
        <v>20628000</v>
      </c>
    </row>
  </sheetData>
  <mergeCells count="2">
    <mergeCell ref="A10:B10"/>
    <mergeCell ref="C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703"/>
  <sheetViews>
    <sheetView topLeftCell="G1" zoomScale="86" zoomScaleNormal="86" workbookViewId="0">
      <selection activeCell="E3" sqref="E3:K3"/>
    </sheetView>
  </sheetViews>
  <sheetFormatPr baseColWidth="10" defaultColWidth="11.453125" defaultRowHeight="14.5" x14ac:dyDescent="0.35"/>
  <cols>
    <col min="1" max="2" width="31.1796875" style="28" hidden="1" customWidth="1"/>
    <col min="3" max="3" width="8.453125" style="28" hidden="1" customWidth="1"/>
    <col min="4" max="4" width="21.54296875" style="35" customWidth="1"/>
    <col min="5" max="5" width="11.453125" style="28" customWidth="1"/>
    <col min="6" max="6" width="17" style="28" customWidth="1"/>
    <col min="7" max="7" width="44.81640625" style="28" customWidth="1"/>
    <col min="8" max="8" width="38.54296875" style="28" customWidth="1"/>
    <col min="9" max="9" width="23" style="28" customWidth="1"/>
    <col min="10" max="10" width="15.81640625" style="28" customWidth="1"/>
    <col min="11" max="11" width="19.453125" style="28" customWidth="1"/>
    <col min="12" max="16384" width="11.453125" style="28"/>
  </cols>
  <sheetData>
    <row r="1" spans="1:11" ht="16" thickBot="1" x14ac:dyDescent="0.4">
      <c r="A1" s="26" t="s">
        <v>0</v>
      </c>
      <c r="B1" s="26" t="s">
        <v>1</v>
      </c>
      <c r="C1" s="27"/>
      <c r="D1" s="78" t="s">
        <v>2</v>
      </c>
      <c r="E1" s="78"/>
      <c r="F1" s="78"/>
      <c r="G1" s="78"/>
      <c r="H1" s="78"/>
    </row>
    <row r="2" spans="1:11" ht="39.75" customHeight="1" thickBot="1" x14ac:dyDescent="0.4">
      <c r="A2" s="12" t="s">
        <v>3</v>
      </c>
      <c r="B2" s="12" t="s">
        <v>4</v>
      </c>
      <c r="C2" s="27"/>
      <c r="D2" s="25" t="s">
        <v>5</v>
      </c>
      <c r="E2" s="24" t="s">
        <v>1</v>
      </c>
      <c r="F2" s="24" t="s">
        <v>6</v>
      </c>
      <c r="G2" s="25" t="s">
        <v>7</v>
      </c>
      <c r="H2" s="24" t="s">
        <v>8</v>
      </c>
      <c r="I2" s="24" t="s">
        <v>9</v>
      </c>
      <c r="J2" s="24" t="s">
        <v>10</v>
      </c>
      <c r="K2" s="24" t="s">
        <v>11</v>
      </c>
    </row>
    <row r="3" spans="1:11" ht="15.5" x14ac:dyDescent="0.35">
      <c r="A3" s="12" t="s">
        <v>12</v>
      </c>
      <c r="B3" s="12" t="s">
        <v>13</v>
      </c>
      <c r="C3" s="27"/>
      <c r="D3" s="32" t="s">
        <v>12</v>
      </c>
      <c r="E3" s="23" t="str">
        <f>VLOOKUP(D3,A:B,2,FALSE)</f>
        <v>Segunda</v>
      </c>
      <c r="F3" s="23">
        <v>154</v>
      </c>
      <c r="G3" s="23">
        <v>18.899999999999999</v>
      </c>
      <c r="H3" s="29">
        <f>IF(E3="Primera",'PRIMERA_O&amp;M'!$N$11,IF(E3="Segunda",'SEGUNDA_O&amp;M'!$M$11,IF(E3="Tercera",'TERCERA_O&amp;M'!$M$11,IF(E3="Selección","Pasar a tabla de Especies por selección"))))</f>
        <v>649960</v>
      </c>
      <c r="I3" s="50">
        <f>(H3*60)/40</f>
        <v>974940</v>
      </c>
      <c r="J3" s="50">
        <f>(H3*70)/40</f>
        <v>1137430</v>
      </c>
      <c r="K3" s="50">
        <f>(H3*100)/40</f>
        <v>1624900</v>
      </c>
    </row>
    <row r="4" spans="1:11" ht="16" thickBot="1" x14ac:dyDescent="0.4">
      <c r="A4" s="12" t="s">
        <v>15</v>
      </c>
      <c r="B4" s="12" t="s">
        <v>16</v>
      </c>
      <c r="C4" s="27"/>
      <c r="D4" s="33"/>
      <c r="E4" s="27"/>
      <c r="F4" s="27"/>
    </row>
    <row r="5" spans="1:11" ht="16" thickBot="1" x14ac:dyDescent="0.4">
      <c r="A5" s="12" t="s">
        <v>17</v>
      </c>
      <c r="B5" s="12" t="s">
        <v>13</v>
      </c>
      <c r="C5" s="27"/>
      <c r="D5" s="79" t="s">
        <v>18</v>
      </c>
      <c r="E5" s="80"/>
      <c r="F5" s="80"/>
      <c r="G5" s="80"/>
      <c r="H5" s="81"/>
    </row>
    <row r="6" spans="1:11" ht="16" thickBot="1" x14ac:dyDescent="0.4">
      <c r="A6" s="12" t="s">
        <v>19</v>
      </c>
      <c r="B6" s="12" t="s">
        <v>20</v>
      </c>
      <c r="C6" s="27"/>
      <c r="D6" s="15" t="s">
        <v>5</v>
      </c>
      <c r="E6" s="14" t="s">
        <v>1</v>
      </c>
      <c r="F6" s="14" t="s">
        <v>6</v>
      </c>
      <c r="G6" s="15" t="s">
        <v>7</v>
      </c>
      <c r="H6" s="14" t="s">
        <v>21</v>
      </c>
    </row>
    <row r="7" spans="1:11" ht="16" thickBot="1" x14ac:dyDescent="0.4">
      <c r="A7" s="12" t="s">
        <v>22</v>
      </c>
      <c r="B7" s="12" t="s">
        <v>4</v>
      </c>
      <c r="C7" s="27"/>
      <c r="D7" s="34" t="str">
        <f>IF(E3="Selección",D3,"N/A")</f>
        <v>N/A</v>
      </c>
      <c r="E7" s="22" t="s">
        <v>20</v>
      </c>
      <c r="F7" s="22">
        <v>140</v>
      </c>
      <c r="G7" s="22">
        <v>5.0999999999999996</v>
      </c>
      <c r="H7" s="30" t="str">
        <f>IF(D7="N/A","N/A",(IF(E7="Primera",'PRIMERA_O&amp;M'!$N$18,IF(E7="Segunda",'SEGUNDA_O&amp;M'!$M$18,IF(E7="Tercera",'TERCERA_O&amp;M'!$M$18)))))</f>
        <v>N/A</v>
      </c>
    </row>
    <row r="8" spans="1:11" ht="16" thickBot="1" x14ac:dyDescent="0.4">
      <c r="A8" s="12" t="s">
        <v>23</v>
      </c>
      <c r="B8" s="12" t="s">
        <v>13</v>
      </c>
      <c r="C8" s="27"/>
      <c r="D8" s="33"/>
      <c r="E8" s="27"/>
      <c r="F8" s="27"/>
    </row>
    <row r="9" spans="1:11" ht="16" thickBot="1" x14ac:dyDescent="0.4">
      <c r="A9" s="12" t="s">
        <v>24</v>
      </c>
      <c r="B9" s="12" t="s">
        <v>16</v>
      </c>
      <c r="C9" s="27"/>
      <c r="D9" s="36" t="s">
        <v>5</v>
      </c>
      <c r="E9" s="37" t="s">
        <v>25</v>
      </c>
      <c r="F9" s="37" t="s">
        <v>6</v>
      </c>
      <c r="G9" s="36" t="s">
        <v>7</v>
      </c>
      <c r="H9" s="37" t="s">
        <v>21</v>
      </c>
      <c r="I9" s="37" t="s">
        <v>26</v>
      </c>
    </row>
    <row r="10" spans="1:11" ht="16" thickBot="1" x14ac:dyDescent="0.4">
      <c r="A10" s="12" t="s">
        <v>27</v>
      </c>
      <c r="B10" s="12" t="s">
        <v>16</v>
      </c>
      <c r="C10" s="27"/>
      <c r="D10" s="38"/>
      <c r="E10" s="39"/>
      <c r="F10" s="43"/>
      <c r="G10" s="38"/>
      <c r="H10" s="31"/>
      <c r="I10" s="31">
        <f>H10*E10</f>
        <v>0</v>
      </c>
    </row>
    <row r="11" spans="1:11" ht="16" thickBot="1" x14ac:dyDescent="0.4">
      <c r="A11" s="12" t="s">
        <v>28</v>
      </c>
      <c r="B11" s="12" t="s">
        <v>20</v>
      </c>
      <c r="C11" s="27"/>
      <c r="D11" s="38"/>
      <c r="E11" s="39"/>
      <c r="F11" s="43"/>
      <c r="G11" s="38"/>
      <c r="H11" s="31"/>
      <c r="I11" s="31"/>
    </row>
    <row r="12" spans="1:11" ht="16" thickBot="1" x14ac:dyDescent="0.4">
      <c r="A12" s="27" t="s">
        <v>29</v>
      </c>
      <c r="B12" s="12" t="s">
        <v>13</v>
      </c>
      <c r="C12" s="27"/>
      <c r="D12" s="38"/>
      <c r="E12" s="39"/>
      <c r="F12" s="43"/>
      <c r="G12" s="38"/>
      <c r="H12" s="31"/>
      <c r="I12" s="31"/>
    </row>
    <row r="13" spans="1:11" ht="16" thickBot="1" x14ac:dyDescent="0.4">
      <c r="A13" s="12" t="s">
        <v>30</v>
      </c>
      <c r="B13" s="12" t="s">
        <v>13</v>
      </c>
      <c r="C13" s="27"/>
      <c r="D13" s="38"/>
      <c r="E13" s="39"/>
      <c r="F13" s="43"/>
      <c r="G13" s="38"/>
      <c r="H13" s="31"/>
      <c r="I13" s="31"/>
    </row>
    <row r="14" spans="1:11" ht="16" thickBot="1" x14ac:dyDescent="0.4">
      <c r="A14" s="12" t="s">
        <v>31</v>
      </c>
      <c r="B14" s="12" t="s">
        <v>20</v>
      </c>
      <c r="C14" s="27"/>
      <c r="D14" s="38"/>
      <c r="E14" s="39"/>
      <c r="F14" s="43"/>
      <c r="G14" s="38"/>
      <c r="H14" s="31"/>
      <c r="I14" s="31"/>
    </row>
    <row r="15" spans="1:11" ht="16" thickBot="1" x14ac:dyDescent="0.4">
      <c r="A15" s="12" t="s">
        <v>32</v>
      </c>
      <c r="B15" s="12" t="s">
        <v>16</v>
      </c>
      <c r="C15" s="27"/>
      <c r="D15" s="38"/>
      <c r="E15" s="39"/>
      <c r="F15" s="43"/>
      <c r="G15" s="38"/>
      <c r="H15" s="31"/>
      <c r="I15" s="31"/>
    </row>
    <row r="16" spans="1:11" ht="16" thickBot="1" x14ac:dyDescent="0.4">
      <c r="A16" s="12" t="s">
        <v>33</v>
      </c>
      <c r="B16" s="12" t="s">
        <v>16</v>
      </c>
      <c r="C16" s="27"/>
      <c r="D16" s="38"/>
      <c r="E16" s="39"/>
      <c r="F16" s="43"/>
      <c r="G16" s="38"/>
      <c r="H16" s="31"/>
      <c r="I16" s="31"/>
    </row>
    <row r="17" spans="1:9" ht="16" thickBot="1" x14ac:dyDescent="0.4">
      <c r="A17" s="12" t="s">
        <v>34</v>
      </c>
      <c r="B17" s="12" t="s">
        <v>13</v>
      </c>
      <c r="C17" s="27"/>
      <c r="D17" s="38"/>
      <c r="E17" s="39"/>
      <c r="F17" s="43"/>
      <c r="G17" s="38"/>
      <c r="H17" s="31"/>
      <c r="I17" s="31"/>
    </row>
    <row r="18" spans="1:9" ht="16" thickBot="1" x14ac:dyDescent="0.4">
      <c r="A18" s="12" t="s">
        <v>35</v>
      </c>
      <c r="B18" s="12" t="s">
        <v>13</v>
      </c>
      <c r="C18" s="27"/>
      <c r="D18" s="38"/>
      <c r="E18" s="39"/>
      <c r="F18" s="43"/>
      <c r="G18" s="38"/>
      <c r="H18" s="31"/>
      <c r="I18" s="31"/>
    </row>
    <row r="19" spans="1:9" ht="16" thickBot="1" x14ac:dyDescent="0.4">
      <c r="A19" s="12" t="s">
        <v>36</v>
      </c>
      <c r="B19" s="12" t="s">
        <v>16</v>
      </c>
      <c r="C19" s="27"/>
      <c r="D19" s="38"/>
      <c r="E19" s="39"/>
      <c r="F19" s="43"/>
      <c r="G19" s="38"/>
      <c r="H19" s="31"/>
      <c r="I19" s="31"/>
    </row>
    <row r="20" spans="1:9" ht="16" thickBot="1" x14ac:dyDescent="0.4">
      <c r="A20" s="12" t="s">
        <v>37</v>
      </c>
      <c r="B20" s="12" t="s">
        <v>20</v>
      </c>
      <c r="C20" s="27"/>
      <c r="D20" s="38"/>
      <c r="E20" s="39"/>
      <c r="F20" s="43"/>
      <c r="G20" s="38"/>
      <c r="H20" s="31"/>
      <c r="I20" s="31"/>
    </row>
    <row r="21" spans="1:9" ht="16" thickBot="1" x14ac:dyDescent="0.4">
      <c r="A21" s="12" t="s">
        <v>38</v>
      </c>
      <c r="B21" s="12" t="s">
        <v>20</v>
      </c>
      <c r="C21" s="27"/>
      <c r="D21" s="38"/>
      <c r="E21" s="39"/>
      <c r="F21" s="43"/>
      <c r="G21" s="38"/>
      <c r="H21" s="31"/>
      <c r="I21" s="31"/>
    </row>
    <row r="22" spans="1:9" ht="16" thickBot="1" x14ac:dyDescent="0.4">
      <c r="A22" s="12" t="s">
        <v>39</v>
      </c>
      <c r="B22" s="12" t="s">
        <v>20</v>
      </c>
      <c r="C22" s="27"/>
      <c r="D22" s="38"/>
      <c r="E22" s="39"/>
      <c r="F22" s="43"/>
      <c r="G22" s="38"/>
      <c r="H22" s="31"/>
      <c r="I22" s="31"/>
    </row>
    <row r="23" spans="1:9" ht="16" thickBot="1" x14ac:dyDescent="0.4">
      <c r="A23" s="12" t="s">
        <v>40</v>
      </c>
      <c r="B23" s="12" t="s">
        <v>16</v>
      </c>
      <c r="C23" s="27"/>
      <c r="D23" s="38"/>
      <c r="E23" s="39"/>
      <c r="F23" s="43"/>
      <c r="G23" s="38"/>
      <c r="H23" s="31"/>
      <c r="I23" s="31"/>
    </row>
    <row r="24" spans="1:9" ht="16" thickBot="1" x14ac:dyDescent="0.4">
      <c r="A24" s="12" t="s">
        <v>41</v>
      </c>
      <c r="B24" s="12" t="s">
        <v>13</v>
      </c>
      <c r="C24" s="27"/>
      <c r="D24" s="38"/>
      <c r="E24" s="39"/>
      <c r="F24" s="43"/>
      <c r="G24" s="38"/>
      <c r="H24" s="31"/>
      <c r="I24" s="31"/>
    </row>
    <row r="25" spans="1:9" ht="16" thickBot="1" x14ac:dyDescent="0.4">
      <c r="A25" s="12" t="s">
        <v>42</v>
      </c>
      <c r="B25" s="12" t="s">
        <v>16</v>
      </c>
      <c r="C25" s="27"/>
      <c r="D25" s="38"/>
      <c r="E25" s="39"/>
      <c r="F25" s="43"/>
      <c r="G25" s="38"/>
      <c r="H25" s="31"/>
      <c r="I25" s="31"/>
    </row>
    <row r="26" spans="1:9" ht="16" thickBot="1" x14ac:dyDescent="0.4">
      <c r="A26" s="12" t="s">
        <v>43</v>
      </c>
      <c r="B26" s="12" t="s">
        <v>16</v>
      </c>
      <c r="C26" s="27"/>
      <c r="D26" s="38"/>
      <c r="E26" s="39"/>
      <c r="F26" s="43"/>
      <c r="G26" s="38"/>
      <c r="H26" s="31"/>
      <c r="I26" s="31"/>
    </row>
    <row r="27" spans="1:9" ht="16" thickBot="1" x14ac:dyDescent="0.4">
      <c r="A27" s="12" t="s">
        <v>44</v>
      </c>
      <c r="B27" s="12" t="s">
        <v>13</v>
      </c>
      <c r="C27" s="27"/>
      <c r="D27" s="38"/>
      <c r="E27" s="39"/>
      <c r="F27" s="43"/>
      <c r="G27" s="38"/>
      <c r="H27" s="31"/>
      <c r="I27" s="31">
        <f>H27*E27</f>
        <v>0</v>
      </c>
    </row>
    <row r="28" spans="1:9" ht="16" thickBot="1" x14ac:dyDescent="0.4">
      <c r="A28" s="12" t="s">
        <v>45</v>
      </c>
      <c r="B28" s="12" t="s">
        <v>13</v>
      </c>
      <c r="C28" s="27"/>
      <c r="D28" s="38"/>
      <c r="E28" s="39"/>
      <c r="F28" s="43"/>
      <c r="G28" s="38"/>
      <c r="H28" s="31"/>
      <c r="I28" s="31">
        <f t="shared" ref="I28:I62" si="0">H28*E28</f>
        <v>0</v>
      </c>
    </row>
    <row r="29" spans="1:9" ht="16" thickBot="1" x14ac:dyDescent="0.4">
      <c r="A29" s="12" t="s">
        <v>46</v>
      </c>
      <c r="B29" s="12" t="s">
        <v>16</v>
      </c>
      <c r="C29" s="27"/>
      <c r="D29" s="38"/>
      <c r="E29" s="39"/>
      <c r="F29" s="43"/>
      <c r="G29" s="38"/>
      <c r="H29" s="31"/>
      <c r="I29" s="31"/>
    </row>
    <row r="30" spans="1:9" ht="16" thickBot="1" x14ac:dyDescent="0.4">
      <c r="A30" s="12" t="s">
        <v>47</v>
      </c>
      <c r="B30" s="12" t="s">
        <v>16</v>
      </c>
      <c r="C30" s="27"/>
      <c r="D30" s="38"/>
      <c r="E30" s="39"/>
      <c r="F30" s="43"/>
      <c r="G30" s="38"/>
      <c r="H30" s="31"/>
      <c r="I30" s="31"/>
    </row>
    <row r="31" spans="1:9" ht="16" thickBot="1" x14ac:dyDescent="0.4">
      <c r="A31" s="12" t="s">
        <v>48</v>
      </c>
      <c r="B31" s="12" t="s">
        <v>13</v>
      </c>
      <c r="C31" s="27"/>
      <c r="D31" s="38"/>
      <c r="E31" s="39"/>
      <c r="F31" s="43"/>
      <c r="G31" s="38"/>
      <c r="H31" s="31"/>
      <c r="I31" s="31"/>
    </row>
    <row r="32" spans="1:9" ht="16" thickBot="1" x14ac:dyDescent="0.4">
      <c r="A32" s="12" t="s">
        <v>49</v>
      </c>
      <c r="B32" s="12" t="s">
        <v>20</v>
      </c>
      <c r="C32" s="27"/>
      <c r="D32" s="38"/>
      <c r="E32" s="39"/>
      <c r="F32" s="43"/>
      <c r="G32" s="38"/>
      <c r="H32" s="31"/>
      <c r="I32" s="31">
        <f t="shared" si="0"/>
        <v>0</v>
      </c>
    </row>
    <row r="33" spans="1:9" ht="16" thickBot="1" x14ac:dyDescent="0.4">
      <c r="A33" s="12" t="s">
        <v>50</v>
      </c>
      <c r="B33" s="12" t="s">
        <v>20</v>
      </c>
      <c r="C33" s="27"/>
      <c r="D33" s="38"/>
      <c r="E33" s="39"/>
      <c r="F33" s="43"/>
      <c r="G33" s="38"/>
      <c r="H33" s="31"/>
      <c r="I33" s="31">
        <f t="shared" si="0"/>
        <v>0</v>
      </c>
    </row>
    <row r="34" spans="1:9" ht="16" thickBot="1" x14ac:dyDescent="0.4">
      <c r="A34" s="12" t="s">
        <v>51</v>
      </c>
      <c r="B34" s="12" t="s">
        <v>52</v>
      </c>
      <c r="C34" s="27"/>
      <c r="D34" s="38"/>
      <c r="E34" s="39"/>
      <c r="F34" s="43"/>
      <c r="G34" s="38"/>
      <c r="H34" s="31"/>
      <c r="I34" s="31"/>
    </row>
    <row r="35" spans="1:9" ht="16" thickBot="1" x14ac:dyDescent="0.4">
      <c r="A35" s="51" t="s">
        <v>53</v>
      </c>
      <c r="B35" s="12" t="s">
        <v>16</v>
      </c>
      <c r="C35" s="27"/>
      <c r="D35" s="38"/>
      <c r="E35" s="39"/>
      <c r="F35" s="43"/>
      <c r="G35" s="38"/>
      <c r="H35" s="31"/>
      <c r="I35" s="31"/>
    </row>
    <row r="36" spans="1:9" ht="16" thickBot="1" x14ac:dyDescent="0.4">
      <c r="A36" s="12" t="s">
        <v>54</v>
      </c>
      <c r="B36" s="12" t="s">
        <v>13</v>
      </c>
      <c r="C36" s="27"/>
      <c r="D36" s="38"/>
      <c r="E36" s="39"/>
      <c r="F36" s="43"/>
      <c r="G36" s="38"/>
      <c r="H36" s="31"/>
      <c r="I36" s="31"/>
    </row>
    <row r="37" spans="1:9" ht="16" thickBot="1" x14ac:dyDescent="0.4">
      <c r="A37" s="12" t="s">
        <v>55</v>
      </c>
      <c r="B37" s="12" t="s">
        <v>16</v>
      </c>
      <c r="C37" s="27"/>
      <c r="D37" s="38"/>
      <c r="E37" s="39"/>
      <c r="F37" s="43"/>
      <c r="G37" s="38"/>
      <c r="H37" s="31"/>
      <c r="I37" s="31"/>
    </row>
    <row r="38" spans="1:9" ht="16" thickBot="1" x14ac:dyDescent="0.4">
      <c r="A38" s="12" t="s">
        <v>56</v>
      </c>
      <c r="B38" s="12" t="s">
        <v>13</v>
      </c>
      <c r="C38" s="27"/>
      <c r="D38" s="38"/>
      <c r="E38" s="39"/>
      <c r="F38" s="43"/>
      <c r="G38" s="38"/>
      <c r="H38" s="31"/>
      <c r="I38" s="31"/>
    </row>
    <row r="39" spans="1:9" ht="16" thickBot="1" x14ac:dyDescent="0.4">
      <c r="A39" s="12" t="s">
        <v>57</v>
      </c>
      <c r="B39" s="12" t="s">
        <v>13</v>
      </c>
      <c r="C39" s="27"/>
      <c r="D39" s="38"/>
      <c r="E39" s="39"/>
      <c r="F39" s="43"/>
      <c r="G39" s="38"/>
      <c r="H39" s="31"/>
      <c r="I39" s="31"/>
    </row>
    <row r="40" spans="1:9" ht="16" thickBot="1" x14ac:dyDescent="0.4">
      <c r="A40" s="12" t="s">
        <v>58</v>
      </c>
      <c r="B40" s="12" t="s">
        <v>16</v>
      </c>
      <c r="C40" s="27"/>
      <c r="D40" s="38"/>
      <c r="E40" s="39"/>
      <c r="F40" s="43"/>
      <c r="G40" s="38"/>
      <c r="H40" s="31"/>
      <c r="I40" s="31"/>
    </row>
    <row r="41" spans="1:9" ht="16" thickBot="1" x14ac:dyDescent="0.4">
      <c r="A41" s="12" t="s">
        <v>59</v>
      </c>
      <c r="B41" s="12" t="s">
        <v>16</v>
      </c>
      <c r="C41" s="27"/>
      <c r="D41" s="38"/>
      <c r="E41" s="39"/>
      <c r="F41" s="43"/>
      <c r="G41" s="38"/>
      <c r="H41" s="31"/>
      <c r="I41" s="31"/>
    </row>
    <row r="42" spans="1:9" ht="16" thickBot="1" x14ac:dyDescent="0.4">
      <c r="A42" s="12" t="s">
        <v>60</v>
      </c>
      <c r="B42" s="12" t="s">
        <v>20</v>
      </c>
      <c r="C42" s="27"/>
      <c r="D42" s="38"/>
      <c r="E42" s="39"/>
      <c r="F42" s="43"/>
      <c r="G42" s="38"/>
      <c r="H42" s="31"/>
      <c r="I42" s="31"/>
    </row>
    <row r="43" spans="1:9" ht="16" thickBot="1" x14ac:dyDescent="0.4">
      <c r="A43" s="12" t="s">
        <v>61</v>
      </c>
      <c r="B43" s="12" t="s">
        <v>13</v>
      </c>
      <c r="C43" s="27"/>
      <c r="D43" s="38"/>
      <c r="E43" s="39"/>
      <c r="F43" s="43"/>
      <c r="G43" s="38"/>
      <c r="H43" s="31"/>
      <c r="I43" s="31">
        <f t="shared" si="0"/>
        <v>0</v>
      </c>
    </row>
    <row r="44" spans="1:9" ht="16" thickBot="1" x14ac:dyDescent="0.4">
      <c r="A44" s="12" t="s">
        <v>62</v>
      </c>
      <c r="B44" s="12" t="s">
        <v>16</v>
      </c>
      <c r="C44" s="27"/>
      <c r="D44" s="38"/>
      <c r="E44" s="39"/>
      <c r="F44" s="43"/>
      <c r="G44" s="38"/>
      <c r="H44" s="31"/>
      <c r="I44" s="31">
        <f t="shared" si="0"/>
        <v>0</v>
      </c>
    </row>
    <row r="45" spans="1:9" ht="16" thickBot="1" x14ac:dyDescent="0.4">
      <c r="A45" s="12" t="s">
        <v>63</v>
      </c>
      <c r="B45" s="12" t="s">
        <v>13</v>
      </c>
      <c r="C45" s="27"/>
      <c r="D45" s="38"/>
      <c r="E45" s="39"/>
      <c r="F45" s="43"/>
      <c r="G45" s="38"/>
      <c r="H45" s="31"/>
      <c r="I45" s="31"/>
    </row>
    <row r="46" spans="1:9" ht="16" thickBot="1" x14ac:dyDescent="0.4">
      <c r="A46" s="12" t="s">
        <v>64</v>
      </c>
      <c r="B46" s="12" t="s">
        <v>20</v>
      </c>
      <c r="C46" s="27"/>
      <c r="D46" s="38"/>
      <c r="E46" s="39"/>
      <c r="F46" s="43"/>
      <c r="G46" s="38"/>
      <c r="H46" s="31"/>
      <c r="I46" s="31">
        <f t="shared" si="0"/>
        <v>0</v>
      </c>
    </row>
    <row r="47" spans="1:9" ht="16" thickBot="1" x14ac:dyDescent="0.4">
      <c r="A47" s="12" t="s">
        <v>65</v>
      </c>
      <c r="B47" s="12" t="s">
        <v>13</v>
      </c>
      <c r="C47" s="27"/>
      <c r="D47" s="38"/>
      <c r="E47" s="39"/>
      <c r="F47" s="43"/>
      <c r="G47" s="38"/>
      <c r="H47" s="31"/>
      <c r="I47" s="31">
        <f t="shared" si="0"/>
        <v>0</v>
      </c>
    </row>
    <row r="48" spans="1:9" ht="16" thickBot="1" x14ac:dyDescent="0.4">
      <c r="A48" s="12" t="s">
        <v>66</v>
      </c>
      <c r="B48" s="12" t="s">
        <v>13</v>
      </c>
      <c r="C48" s="27"/>
      <c r="D48" s="38"/>
      <c r="E48" s="39"/>
      <c r="F48" s="43"/>
      <c r="G48" s="38"/>
      <c r="H48" s="31"/>
      <c r="I48" s="31">
        <f t="shared" si="0"/>
        <v>0</v>
      </c>
    </row>
    <row r="49" spans="1:9" ht="16" thickBot="1" x14ac:dyDescent="0.4">
      <c r="A49" s="12" t="s">
        <v>67</v>
      </c>
      <c r="B49" s="12" t="s">
        <v>13</v>
      </c>
      <c r="C49" s="27"/>
      <c r="D49" s="38"/>
      <c r="E49" s="39"/>
      <c r="F49" s="43"/>
      <c r="G49" s="38"/>
      <c r="H49" s="31"/>
      <c r="I49" s="31">
        <f t="shared" si="0"/>
        <v>0</v>
      </c>
    </row>
    <row r="50" spans="1:9" ht="16" thickBot="1" x14ac:dyDescent="0.4">
      <c r="A50" s="12" t="s">
        <v>68</v>
      </c>
      <c r="B50" s="12" t="s">
        <v>13</v>
      </c>
      <c r="C50" s="27"/>
      <c r="D50" s="38"/>
      <c r="E50" s="39"/>
      <c r="F50" s="43"/>
      <c r="G50" s="38"/>
      <c r="H50" s="31"/>
      <c r="I50" s="31"/>
    </row>
    <row r="51" spans="1:9" ht="16" thickBot="1" x14ac:dyDescent="0.4">
      <c r="A51" s="12" t="s">
        <v>69</v>
      </c>
      <c r="B51" s="12" t="s">
        <v>20</v>
      </c>
      <c r="C51" s="27"/>
      <c r="D51" s="38"/>
      <c r="E51" s="39"/>
      <c r="F51" s="43"/>
      <c r="G51" s="38"/>
      <c r="H51" s="31"/>
      <c r="I51" s="31">
        <f t="shared" si="0"/>
        <v>0</v>
      </c>
    </row>
    <row r="52" spans="1:9" ht="16" thickBot="1" x14ac:dyDescent="0.4">
      <c r="A52" s="12" t="s">
        <v>70</v>
      </c>
      <c r="B52" s="12" t="s">
        <v>13</v>
      </c>
      <c r="C52" s="27"/>
      <c r="D52" s="38"/>
      <c r="E52" s="39"/>
      <c r="F52" s="43"/>
      <c r="G52" s="38"/>
      <c r="H52" s="31"/>
      <c r="I52" s="31"/>
    </row>
    <row r="53" spans="1:9" ht="16" thickBot="1" x14ac:dyDescent="0.4">
      <c r="A53" s="12" t="s">
        <v>71</v>
      </c>
      <c r="B53" s="12" t="s">
        <v>13</v>
      </c>
      <c r="C53" s="27"/>
      <c r="D53" s="38"/>
      <c r="E53" s="39"/>
      <c r="F53" s="43"/>
      <c r="G53" s="38"/>
      <c r="H53" s="31"/>
      <c r="I53" s="31"/>
    </row>
    <row r="54" spans="1:9" ht="16" thickBot="1" x14ac:dyDescent="0.4">
      <c r="A54" s="12" t="s">
        <v>72</v>
      </c>
      <c r="B54" s="12" t="s">
        <v>52</v>
      </c>
      <c r="C54" s="27"/>
      <c r="D54" s="38"/>
      <c r="E54" s="39"/>
      <c r="F54" s="43"/>
      <c r="G54" s="38"/>
      <c r="H54" s="31"/>
      <c r="I54" s="31"/>
    </row>
    <row r="55" spans="1:9" ht="16" thickBot="1" x14ac:dyDescent="0.4">
      <c r="A55" s="12" t="s">
        <v>73</v>
      </c>
      <c r="B55" s="12" t="s">
        <v>13</v>
      </c>
      <c r="C55" s="27"/>
      <c r="D55" s="38"/>
      <c r="E55" s="39"/>
      <c r="F55" s="43"/>
      <c r="G55" s="38"/>
      <c r="H55" s="31"/>
      <c r="I55" s="31"/>
    </row>
    <row r="56" spans="1:9" ht="16" thickBot="1" x14ac:dyDescent="0.4">
      <c r="A56" s="12" t="s">
        <v>74</v>
      </c>
      <c r="B56" s="12" t="s">
        <v>20</v>
      </c>
      <c r="C56" s="27"/>
      <c r="D56" s="38"/>
      <c r="E56" s="39"/>
      <c r="F56" s="43"/>
      <c r="G56" s="38"/>
      <c r="H56" s="31"/>
      <c r="I56" s="31">
        <f t="shared" si="0"/>
        <v>0</v>
      </c>
    </row>
    <row r="57" spans="1:9" ht="16" thickBot="1" x14ac:dyDescent="0.4">
      <c r="A57" s="12" t="s">
        <v>75</v>
      </c>
      <c r="B57" s="12" t="s">
        <v>16</v>
      </c>
      <c r="C57" s="27"/>
      <c r="D57" s="38"/>
      <c r="E57" s="39"/>
      <c r="F57" s="43"/>
      <c r="G57" s="38"/>
      <c r="H57" s="31"/>
      <c r="I57" s="31">
        <f t="shared" si="0"/>
        <v>0</v>
      </c>
    </row>
    <row r="58" spans="1:9" ht="16" thickBot="1" x14ac:dyDescent="0.4">
      <c r="A58" s="12" t="s">
        <v>76</v>
      </c>
      <c r="B58" s="12" t="s">
        <v>13</v>
      </c>
      <c r="C58" s="27"/>
      <c r="D58" s="38"/>
      <c r="E58" s="39"/>
      <c r="F58" s="43"/>
      <c r="G58" s="38"/>
      <c r="H58" s="31"/>
      <c r="I58" s="31"/>
    </row>
    <row r="59" spans="1:9" ht="16" thickBot="1" x14ac:dyDescent="0.4">
      <c r="A59" s="12" t="s">
        <v>77</v>
      </c>
      <c r="B59" s="12" t="s">
        <v>13</v>
      </c>
      <c r="C59" s="27"/>
      <c r="D59" s="38"/>
      <c r="E59" s="39"/>
      <c r="F59" s="43"/>
      <c r="G59" s="38"/>
      <c r="H59" s="31"/>
      <c r="I59" s="31"/>
    </row>
    <row r="60" spans="1:9" ht="16" thickBot="1" x14ac:dyDescent="0.4">
      <c r="A60" s="12" t="s">
        <v>78</v>
      </c>
      <c r="B60" s="12" t="s">
        <v>20</v>
      </c>
      <c r="C60" s="27"/>
      <c r="D60" s="38"/>
      <c r="E60" s="39"/>
      <c r="F60" s="43"/>
      <c r="G60" s="38"/>
      <c r="H60" s="31"/>
      <c r="I60" s="31">
        <f t="shared" si="0"/>
        <v>0</v>
      </c>
    </row>
    <row r="61" spans="1:9" ht="16" thickBot="1" x14ac:dyDescent="0.4">
      <c r="A61" s="12" t="s">
        <v>79</v>
      </c>
      <c r="B61" s="12" t="s">
        <v>4</v>
      </c>
      <c r="C61" s="27"/>
      <c r="D61" s="38"/>
      <c r="E61" s="39"/>
      <c r="F61" s="43"/>
      <c r="G61" s="38"/>
      <c r="H61" s="31"/>
      <c r="I61" s="31"/>
    </row>
    <row r="62" spans="1:9" ht="16" thickBot="1" x14ac:dyDescent="0.4">
      <c r="A62" s="12" t="s">
        <v>80</v>
      </c>
      <c r="B62" s="12" t="s">
        <v>13</v>
      </c>
      <c r="C62" s="27"/>
      <c r="D62" s="38"/>
      <c r="E62" s="39"/>
      <c r="F62" s="43"/>
      <c r="G62" s="38"/>
      <c r="H62" s="31"/>
      <c r="I62" s="31">
        <f t="shared" si="0"/>
        <v>0</v>
      </c>
    </row>
    <row r="63" spans="1:9" ht="16" thickBot="1" x14ac:dyDescent="0.4">
      <c r="A63" s="12" t="s">
        <v>81</v>
      </c>
      <c r="B63" s="12" t="s">
        <v>4</v>
      </c>
      <c r="C63" s="27"/>
      <c r="D63" s="38"/>
      <c r="E63" s="44"/>
      <c r="F63" s="47"/>
      <c r="G63" s="48"/>
      <c r="H63" s="49"/>
      <c r="I63" s="31"/>
    </row>
    <row r="64" spans="1:9" ht="16" thickBot="1" x14ac:dyDescent="0.4">
      <c r="A64" s="12" t="s">
        <v>82</v>
      </c>
      <c r="B64" s="12" t="s">
        <v>13</v>
      </c>
      <c r="C64" s="27"/>
      <c r="D64" s="38"/>
      <c r="F64" s="40" t="s">
        <v>83</v>
      </c>
      <c r="G64" s="41"/>
      <c r="H64" s="42"/>
      <c r="I64" s="31">
        <f>SUM(I10:I62)</f>
        <v>0</v>
      </c>
    </row>
    <row r="65" spans="1:9" ht="16" thickBot="1" x14ac:dyDescent="0.4">
      <c r="A65" s="12" t="s">
        <v>84</v>
      </c>
      <c r="B65" s="12" t="s">
        <v>4</v>
      </c>
      <c r="C65" s="27"/>
      <c r="D65" s="38"/>
      <c r="F65" s="44"/>
      <c r="G65" s="44"/>
      <c r="H65" s="44"/>
      <c r="I65" s="45"/>
    </row>
    <row r="66" spans="1:9" ht="16" thickBot="1" x14ac:dyDescent="0.4">
      <c r="A66" s="12" t="s">
        <v>85</v>
      </c>
      <c r="B66" s="12" t="s">
        <v>13</v>
      </c>
      <c r="C66" s="27"/>
      <c r="D66" s="38"/>
      <c r="F66" s="44"/>
      <c r="G66" s="44"/>
      <c r="H66" s="44"/>
      <c r="I66" s="45"/>
    </row>
    <row r="67" spans="1:9" ht="16" thickBot="1" x14ac:dyDescent="0.4">
      <c r="A67" s="12" t="s">
        <v>86</v>
      </c>
      <c r="B67" s="12" t="s">
        <v>4</v>
      </c>
      <c r="C67" s="27"/>
      <c r="D67" s="38"/>
      <c r="F67" s="44"/>
      <c r="G67" s="44"/>
      <c r="H67" s="44"/>
      <c r="I67" s="45"/>
    </row>
    <row r="68" spans="1:9" ht="16" thickBot="1" x14ac:dyDescent="0.4">
      <c r="A68" s="12" t="s">
        <v>87</v>
      </c>
      <c r="B68" s="12" t="s">
        <v>13</v>
      </c>
      <c r="C68" s="27"/>
      <c r="D68" s="38"/>
    </row>
    <row r="69" spans="1:9" ht="16" thickBot="1" x14ac:dyDescent="0.4">
      <c r="A69" s="12" t="s">
        <v>88</v>
      </c>
      <c r="B69" s="12" t="s">
        <v>13</v>
      </c>
      <c r="C69" s="27"/>
      <c r="D69" s="38"/>
    </row>
    <row r="70" spans="1:9" ht="16" thickBot="1" x14ac:dyDescent="0.4">
      <c r="A70" s="12" t="s">
        <v>89</v>
      </c>
      <c r="B70" s="12" t="s">
        <v>13</v>
      </c>
      <c r="C70" s="27"/>
      <c r="D70" s="46"/>
    </row>
    <row r="71" spans="1:9" ht="16" thickBot="1" x14ac:dyDescent="0.4">
      <c r="A71" s="12" t="s">
        <v>90</v>
      </c>
      <c r="B71" s="12" t="s">
        <v>4</v>
      </c>
      <c r="C71" s="27"/>
      <c r="E71" s="27"/>
      <c r="F71" s="27"/>
    </row>
    <row r="72" spans="1:9" ht="16" thickBot="1" x14ac:dyDescent="0.4">
      <c r="A72" s="12" t="s">
        <v>91</v>
      </c>
      <c r="B72" s="12" t="s">
        <v>4</v>
      </c>
      <c r="C72" s="27"/>
      <c r="E72" s="27"/>
      <c r="F72" s="27"/>
    </row>
    <row r="73" spans="1:9" ht="16" thickBot="1" x14ac:dyDescent="0.4">
      <c r="A73" s="12" t="s">
        <v>92</v>
      </c>
      <c r="B73" s="12" t="s">
        <v>16</v>
      </c>
      <c r="C73" s="27"/>
      <c r="E73" s="27"/>
      <c r="F73" s="27"/>
    </row>
    <row r="74" spans="1:9" ht="16" thickBot="1" x14ac:dyDescent="0.4">
      <c r="A74" s="12" t="s">
        <v>93</v>
      </c>
      <c r="B74" s="12" t="s">
        <v>20</v>
      </c>
      <c r="C74" s="27"/>
      <c r="D74" s="33"/>
      <c r="E74" s="27"/>
      <c r="F74" s="27"/>
    </row>
    <row r="75" spans="1:9" ht="16" thickBot="1" x14ac:dyDescent="0.4">
      <c r="A75" s="12" t="s">
        <v>94</v>
      </c>
      <c r="B75" s="12" t="s">
        <v>13</v>
      </c>
      <c r="C75" s="27"/>
      <c r="D75" s="33"/>
      <c r="E75" s="27"/>
      <c r="F75" s="27"/>
    </row>
    <row r="76" spans="1:9" ht="16" thickBot="1" x14ac:dyDescent="0.4">
      <c r="A76" s="12" t="s">
        <v>95</v>
      </c>
      <c r="B76" s="12" t="s">
        <v>16</v>
      </c>
      <c r="C76" s="27"/>
      <c r="D76" s="33"/>
      <c r="E76" s="27"/>
      <c r="F76" s="27"/>
    </row>
    <row r="77" spans="1:9" ht="16" thickBot="1" x14ac:dyDescent="0.4">
      <c r="A77" s="12" t="s">
        <v>96</v>
      </c>
      <c r="B77" s="12" t="s">
        <v>16</v>
      </c>
      <c r="C77" s="27"/>
      <c r="D77" s="33"/>
      <c r="E77" s="27"/>
      <c r="F77" s="27"/>
    </row>
    <row r="78" spans="1:9" ht="16" thickBot="1" x14ac:dyDescent="0.4">
      <c r="A78" s="12" t="s">
        <v>97</v>
      </c>
      <c r="B78" s="12" t="s">
        <v>13</v>
      </c>
      <c r="C78" s="27"/>
      <c r="D78" s="33"/>
      <c r="E78" s="27"/>
      <c r="F78" s="27"/>
    </row>
    <row r="79" spans="1:9" ht="16" thickBot="1" x14ac:dyDescent="0.4">
      <c r="A79" s="12" t="s">
        <v>98</v>
      </c>
      <c r="B79" s="12" t="s">
        <v>16</v>
      </c>
      <c r="C79" s="27"/>
      <c r="D79" s="33"/>
      <c r="E79" s="27"/>
      <c r="F79" s="27"/>
    </row>
    <row r="80" spans="1:9" ht="16" thickBot="1" x14ac:dyDescent="0.4">
      <c r="A80" s="12" t="s">
        <v>99</v>
      </c>
      <c r="B80" s="12" t="s">
        <v>16</v>
      </c>
      <c r="C80" s="27"/>
      <c r="D80" s="33"/>
      <c r="E80" s="27"/>
      <c r="F80" s="27"/>
    </row>
    <row r="81" spans="1:6" ht="16" thickBot="1" x14ac:dyDescent="0.4">
      <c r="A81" s="12" t="s">
        <v>100</v>
      </c>
      <c r="B81" s="12" t="s">
        <v>16</v>
      </c>
      <c r="C81" s="27"/>
      <c r="D81" s="33"/>
      <c r="E81" s="27"/>
      <c r="F81" s="27"/>
    </row>
    <row r="82" spans="1:6" ht="16" thickBot="1" x14ac:dyDescent="0.4">
      <c r="A82" s="12" t="s">
        <v>101</v>
      </c>
      <c r="B82" s="12" t="s">
        <v>20</v>
      </c>
      <c r="C82" s="27"/>
      <c r="D82" s="33"/>
      <c r="E82" s="27"/>
      <c r="F82" s="27"/>
    </row>
    <row r="83" spans="1:6" ht="16" thickBot="1" x14ac:dyDescent="0.4">
      <c r="A83" s="12" t="s">
        <v>102</v>
      </c>
      <c r="B83" s="12" t="s">
        <v>16</v>
      </c>
      <c r="C83" s="27"/>
      <c r="D83" s="33"/>
      <c r="E83" s="27"/>
      <c r="F83" s="27"/>
    </row>
    <row r="84" spans="1:6" ht="16" thickBot="1" x14ac:dyDescent="0.4">
      <c r="A84" s="12" t="s">
        <v>103</v>
      </c>
      <c r="B84" s="12" t="s">
        <v>16</v>
      </c>
      <c r="C84" s="27"/>
      <c r="D84" s="33"/>
      <c r="E84" s="27"/>
      <c r="F84" s="27"/>
    </row>
    <row r="85" spans="1:6" ht="16" thickBot="1" x14ac:dyDescent="0.4">
      <c r="A85" s="12" t="s">
        <v>104</v>
      </c>
      <c r="B85" s="12" t="s">
        <v>13</v>
      </c>
      <c r="C85" s="27"/>
      <c r="D85" s="33"/>
      <c r="E85" s="27"/>
      <c r="F85" s="27"/>
    </row>
    <row r="86" spans="1:6" ht="16" thickBot="1" x14ac:dyDescent="0.4">
      <c r="A86" s="12" t="s">
        <v>105</v>
      </c>
      <c r="B86" s="12" t="s">
        <v>4</v>
      </c>
      <c r="C86" s="27"/>
      <c r="D86" s="33"/>
      <c r="E86" s="27"/>
      <c r="F86" s="27"/>
    </row>
    <row r="87" spans="1:6" ht="16" thickBot="1" x14ac:dyDescent="0.4">
      <c r="A87" s="12" t="s">
        <v>106</v>
      </c>
      <c r="B87" s="12" t="s">
        <v>16</v>
      </c>
      <c r="C87" s="27"/>
      <c r="D87" s="33"/>
      <c r="E87" s="27"/>
      <c r="F87" s="27"/>
    </row>
    <row r="88" spans="1:6" ht="16" thickBot="1" x14ac:dyDescent="0.4">
      <c r="A88" s="12" t="s">
        <v>107</v>
      </c>
      <c r="B88" s="12" t="s">
        <v>16</v>
      </c>
      <c r="C88" s="27"/>
      <c r="D88" s="33"/>
      <c r="E88" s="27"/>
      <c r="F88" s="27"/>
    </row>
    <row r="89" spans="1:6" ht="16" thickBot="1" x14ac:dyDescent="0.4">
      <c r="A89" s="12" t="s">
        <v>108</v>
      </c>
      <c r="B89" s="12" t="s">
        <v>13</v>
      </c>
      <c r="C89" s="27"/>
      <c r="D89" s="33"/>
      <c r="E89" s="27"/>
      <c r="F89" s="27"/>
    </row>
    <row r="90" spans="1:6" ht="16" thickBot="1" x14ac:dyDescent="0.4">
      <c r="A90" s="12" t="s">
        <v>109</v>
      </c>
      <c r="B90" s="12" t="s">
        <v>16</v>
      </c>
      <c r="C90" s="27"/>
      <c r="D90" s="33"/>
      <c r="E90" s="27"/>
      <c r="F90" s="27"/>
    </row>
    <row r="91" spans="1:6" ht="16" thickBot="1" x14ac:dyDescent="0.4">
      <c r="A91" s="12" t="s">
        <v>110</v>
      </c>
      <c r="B91" s="12" t="s">
        <v>16</v>
      </c>
      <c r="C91" s="27"/>
      <c r="D91" s="33"/>
      <c r="E91" s="27"/>
      <c r="F91" s="27"/>
    </row>
    <row r="92" spans="1:6" ht="16" thickBot="1" x14ac:dyDescent="0.4">
      <c r="A92" s="12" t="s">
        <v>111</v>
      </c>
      <c r="B92" s="12" t="s">
        <v>16</v>
      </c>
      <c r="C92" s="27"/>
      <c r="D92" s="33"/>
      <c r="E92" s="27"/>
      <c r="F92" s="27"/>
    </row>
    <row r="93" spans="1:6" ht="16" thickBot="1" x14ac:dyDescent="0.4">
      <c r="A93" s="12" t="s">
        <v>112</v>
      </c>
      <c r="B93" s="12" t="s">
        <v>20</v>
      </c>
      <c r="C93" s="27"/>
      <c r="D93" s="33"/>
      <c r="E93" s="27"/>
      <c r="F93" s="27"/>
    </row>
    <row r="94" spans="1:6" ht="16" thickBot="1" x14ac:dyDescent="0.4">
      <c r="A94" s="12" t="s">
        <v>113</v>
      </c>
      <c r="B94" s="12" t="s">
        <v>4</v>
      </c>
      <c r="C94" s="27"/>
      <c r="D94" s="33"/>
      <c r="E94" s="27"/>
      <c r="F94" s="27"/>
    </row>
    <row r="95" spans="1:6" ht="16" thickBot="1" x14ac:dyDescent="0.4">
      <c r="A95" s="12" t="s">
        <v>114</v>
      </c>
      <c r="B95" s="12" t="s">
        <v>20</v>
      </c>
      <c r="C95" s="27"/>
      <c r="D95" s="33"/>
      <c r="E95" s="27"/>
      <c r="F95" s="27"/>
    </row>
    <row r="96" spans="1:6" ht="16" thickBot="1" x14ac:dyDescent="0.4">
      <c r="A96" s="12" t="s">
        <v>115</v>
      </c>
      <c r="B96" s="12" t="s">
        <v>16</v>
      </c>
      <c r="C96" s="27"/>
      <c r="D96" s="33"/>
      <c r="E96" s="27"/>
      <c r="F96" s="27"/>
    </row>
    <row r="97" spans="1:6" ht="16" thickBot="1" x14ac:dyDescent="0.4">
      <c r="A97" s="12" t="s">
        <v>116</v>
      </c>
      <c r="B97" s="12" t="s">
        <v>16</v>
      </c>
      <c r="C97" s="27"/>
      <c r="D97" s="33"/>
      <c r="E97" s="27"/>
      <c r="F97" s="27"/>
    </row>
    <row r="98" spans="1:6" ht="16" thickBot="1" x14ac:dyDescent="0.4">
      <c r="A98" s="12" t="s">
        <v>117</v>
      </c>
      <c r="B98" s="12" t="s">
        <v>16</v>
      </c>
      <c r="C98" s="27"/>
      <c r="D98" s="33"/>
      <c r="E98" s="27"/>
      <c r="F98" s="27"/>
    </row>
    <row r="99" spans="1:6" ht="16" thickBot="1" x14ac:dyDescent="0.4">
      <c r="A99" s="12" t="s">
        <v>118</v>
      </c>
      <c r="B99" s="12" t="s">
        <v>16</v>
      </c>
      <c r="C99" s="27"/>
      <c r="D99" s="33"/>
      <c r="E99" s="27"/>
      <c r="F99" s="27"/>
    </row>
    <row r="100" spans="1:6" ht="16" thickBot="1" x14ac:dyDescent="0.4">
      <c r="A100" s="12" t="s">
        <v>14</v>
      </c>
      <c r="B100" s="12" t="s">
        <v>13</v>
      </c>
      <c r="C100" s="27"/>
      <c r="D100" s="33"/>
      <c r="E100" s="27"/>
      <c r="F100" s="27"/>
    </row>
    <row r="101" spans="1:6" ht="16" thickBot="1" x14ac:dyDescent="0.4">
      <c r="A101" s="12" t="s">
        <v>119</v>
      </c>
      <c r="B101" s="12" t="s">
        <v>16</v>
      </c>
      <c r="C101" s="27"/>
      <c r="D101" s="33"/>
      <c r="E101" s="27"/>
      <c r="F101" s="27"/>
    </row>
    <row r="102" spans="1:6" ht="16" thickBot="1" x14ac:dyDescent="0.4">
      <c r="A102" s="12" t="s">
        <v>120</v>
      </c>
      <c r="B102" s="12" t="s">
        <v>16</v>
      </c>
      <c r="C102" s="27"/>
      <c r="D102" s="33"/>
      <c r="E102" s="27"/>
      <c r="F102" s="27"/>
    </row>
    <row r="103" spans="1:6" ht="16" thickBot="1" x14ac:dyDescent="0.4">
      <c r="A103" s="12" t="s">
        <v>121</v>
      </c>
      <c r="B103" s="12" t="s">
        <v>16</v>
      </c>
      <c r="C103" s="27"/>
      <c r="D103" s="33"/>
      <c r="E103" s="27"/>
      <c r="F103" s="27"/>
    </row>
    <row r="104" spans="1:6" ht="16" thickBot="1" x14ac:dyDescent="0.4">
      <c r="A104" s="12" t="s">
        <v>122</v>
      </c>
      <c r="B104" s="12" t="s">
        <v>16</v>
      </c>
      <c r="C104" s="27"/>
      <c r="D104" s="33"/>
      <c r="E104" s="27"/>
      <c r="F104" s="27"/>
    </row>
    <row r="105" spans="1:6" ht="16" thickBot="1" x14ac:dyDescent="0.4">
      <c r="A105" s="12" t="s">
        <v>123</v>
      </c>
      <c r="B105" s="12" t="s">
        <v>16</v>
      </c>
      <c r="C105" s="27"/>
      <c r="D105" s="33"/>
      <c r="E105" s="27"/>
      <c r="F105" s="27"/>
    </row>
    <row r="106" spans="1:6" ht="16" thickBot="1" x14ac:dyDescent="0.4">
      <c r="A106" s="12" t="s">
        <v>124</v>
      </c>
      <c r="B106" s="12" t="s">
        <v>16</v>
      </c>
      <c r="C106" s="27"/>
      <c r="D106" s="33"/>
      <c r="E106" s="27"/>
      <c r="F106" s="27"/>
    </row>
    <row r="107" spans="1:6" ht="16" thickBot="1" x14ac:dyDescent="0.4">
      <c r="A107" s="12" t="s">
        <v>125</v>
      </c>
      <c r="B107" s="12" t="s">
        <v>16</v>
      </c>
      <c r="C107" s="27"/>
      <c r="D107" s="33"/>
      <c r="E107" s="27"/>
      <c r="F107" s="27"/>
    </row>
    <row r="108" spans="1:6" ht="16" thickBot="1" x14ac:dyDescent="0.4">
      <c r="A108" s="12" t="s">
        <v>126</v>
      </c>
      <c r="B108" s="12" t="s">
        <v>16</v>
      </c>
      <c r="C108" s="27"/>
      <c r="D108" s="33"/>
      <c r="E108" s="27"/>
      <c r="F108" s="27"/>
    </row>
    <row r="109" spans="1:6" ht="16" thickBot="1" x14ac:dyDescent="0.4">
      <c r="A109" s="12" t="s">
        <v>127</v>
      </c>
      <c r="B109" s="12" t="s">
        <v>16</v>
      </c>
      <c r="C109" s="27"/>
      <c r="D109" s="33"/>
      <c r="E109" s="27"/>
      <c r="F109" s="27"/>
    </row>
    <row r="110" spans="1:6" ht="16" thickBot="1" x14ac:dyDescent="0.4">
      <c r="A110" s="12" t="s">
        <v>128</v>
      </c>
      <c r="B110" s="12" t="s">
        <v>16</v>
      </c>
      <c r="C110" s="27"/>
      <c r="D110" s="33"/>
      <c r="E110" s="27"/>
      <c r="F110" s="27"/>
    </row>
    <row r="111" spans="1:6" ht="16" thickBot="1" x14ac:dyDescent="0.4">
      <c r="A111" s="12" t="s">
        <v>129</v>
      </c>
      <c r="B111" s="12" t="s">
        <v>16</v>
      </c>
      <c r="C111" s="27"/>
      <c r="D111" s="33"/>
      <c r="E111" s="27"/>
      <c r="F111" s="27"/>
    </row>
    <row r="112" spans="1:6" ht="16" thickBot="1" x14ac:dyDescent="0.4">
      <c r="A112" s="12" t="s">
        <v>130</v>
      </c>
      <c r="B112" s="12" t="s">
        <v>16</v>
      </c>
      <c r="C112" s="27"/>
      <c r="D112" s="33"/>
      <c r="E112" s="27"/>
      <c r="F112" s="27"/>
    </row>
    <row r="113" spans="1:6" ht="16" thickBot="1" x14ac:dyDescent="0.4">
      <c r="A113" s="12" t="s">
        <v>131</v>
      </c>
      <c r="B113" s="12" t="s">
        <v>16</v>
      </c>
      <c r="C113" s="27"/>
      <c r="D113" s="33"/>
      <c r="E113" s="27"/>
      <c r="F113" s="27"/>
    </row>
    <row r="114" spans="1:6" ht="16" thickBot="1" x14ac:dyDescent="0.4">
      <c r="A114" s="12" t="s">
        <v>132</v>
      </c>
      <c r="B114" s="12" t="s">
        <v>13</v>
      </c>
      <c r="C114" s="27"/>
      <c r="D114" s="33"/>
      <c r="E114" s="27"/>
      <c r="F114" s="27"/>
    </row>
    <row r="115" spans="1:6" ht="16" thickBot="1" x14ac:dyDescent="0.4">
      <c r="A115" s="12" t="s">
        <v>133</v>
      </c>
      <c r="B115" s="12" t="s">
        <v>16</v>
      </c>
      <c r="C115" s="27"/>
      <c r="D115" s="33"/>
      <c r="E115" s="27"/>
      <c r="F115" s="27"/>
    </row>
    <row r="116" spans="1:6" ht="16" thickBot="1" x14ac:dyDescent="0.4">
      <c r="A116" s="12" t="s">
        <v>134</v>
      </c>
      <c r="B116" s="12" t="s">
        <v>20</v>
      </c>
      <c r="C116" s="27"/>
      <c r="D116" s="33"/>
      <c r="E116" s="27"/>
      <c r="F116" s="27"/>
    </row>
    <row r="117" spans="1:6" ht="16" thickBot="1" x14ac:dyDescent="0.4">
      <c r="A117" s="12" t="s">
        <v>135</v>
      </c>
      <c r="B117" s="12" t="s">
        <v>13</v>
      </c>
      <c r="C117" s="27"/>
      <c r="D117" s="33"/>
      <c r="E117" s="27"/>
      <c r="F117" s="27"/>
    </row>
    <row r="118" spans="1:6" ht="16" thickBot="1" x14ac:dyDescent="0.4">
      <c r="A118" s="12" t="s">
        <v>136</v>
      </c>
      <c r="B118" s="12" t="s">
        <v>4</v>
      </c>
      <c r="C118" s="27"/>
      <c r="D118" s="33"/>
      <c r="E118" s="27"/>
      <c r="F118" s="27"/>
    </row>
    <row r="119" spans="1:6" ht="16" thickBot="1" x14ac:dyDescent="0.4">
      <c r="A119" s="12" t="s">
        <v>137</v>
      </c>
      <c r="B119" s="12" t="s">
        <v>13</v>
      </c>
      <c r="C119" s="27"/>
      <c r="D119" s="33"/>
      <c r="E119" s="27"/>
      <c r="F119" s="27"/>
    </row>
    <row r="120" spans="1:6" ht="16" thickBot="1" x14ac:dyDescent="0.4">
      <c r="A120" s="12" t="s">
        <v>138</v>
      </c>
      <c r="B120" s="12" t="s">
        <v>13</v>
      </c>
      <c r="C120" s="27"/>
      <c r="D120" s="33"/>
      <c r="E120" s="27"/>
      <c r="F120" s="27"/>
    </row>
    <row r="121" spans="1:6" ht="16" thickBot="1" x14ac:dyDescent="0.4">
      <c r="A121" s="12" t="s">
        <v>139</v>
      </c>
      <c r="B121" s="12" t="s">
        <v>13</v>
      </c>
      <c r="C121" s="27"/>
      <c r="D121" s="33"/>
      <c r="E121" s="27"/>
      <c r="F121" s="27"/>
    </row>
    <row r="122" spans="1:6" ht="16" thickBot="1" x14ac:dyDescent="0.4">
      <c r="A122" s="12" t="s">
        <v>140</v>
      </c>
      <c r="B122" s="12" t="s">
        <v>13</v>
      </c>
      <c r="C122" s="27"/>
      <c r="D122" s="33"/>
      <c r="E122" s="27"/>
      <c r="F122" s="27"/>
    </row>
    <row r="123" spans="1:6" ht="16" thickBot="1" x14ac:dyDescent="0.4">
      <c r="A123" s="12" t="s">
        <v>141</v>
      </c>
      <c r="B123" s="12" t="s">
        <v>13</v>
      </c>
      <c r="C123" s="27"/>
      <c r="D123" s="33"/>
      <c r="E123" s="27"/>
      <c r="F123" s="27"/>
    </row>
    <row r="124" spans="1:6" ht="16" thickBot="1" x14ac:dyDescent="0.4">
      <c r="A124" s="12" t="s">
        <v>142</v>
      </c>
      <c r="B124" s="12" t="s">
        <v>16</v>
      </c>
      <c r="C124" s="27"/>
      <c r="D124" s="33"/>
      <c r="E124" s="27"/>
      <c r="F124" s="27"/>
    </row>
    <row r="125" spans="1:6" ht="16" thickBot="1" x14ac:dyDescent="0.4">
      <c r="A125" s="12" t="s">
        <v>143</v>
      </c>
      <c r="B125" s="12" t="s">
        <v>13</v>
      </c>
      <c r="C125" s="27"/>
      <c r="D125" s="33"/>
      <c r="E125" s="27"/>
      <c r="F125" s="27"/>
    </row>
    <row r="126" spans="1:6" ht="16" thickBot="1" x14ac:dyDescent="0.4">
      <c r="A126" s="12" t="s">
        <v>144</v>
      </c>
      <c r="B126" s="12" t="s">
        <v>16</v>
      </c>
      <c r="C126" s="27"/>
      <c r="D126" s="33"/>
      <c r="E126" s="27"/>
      <c r="F126" s="27"/>
    </row>
    <row r="127" spans="1:6" ht="16" thickBot="1" x14ac:dyDescent="0.4">
      <c r="A127" s="12" t="s">
        <v>145</v>
      </c>
      <c r="B127" s="12" t="s">
        <v>16</v>
      </c>
      <c r="C127" s="27"/>
      <c r="D127" s="33"/>
      <c r="E127" s="27"/>
      <c r="F127" s="27"/>
    </row>
    <row r="128" spans="1:6" ht="16" thickBot="1" x14ac:dyDescent="0.4">
      <c r="A128" s="12" t="s">
        <v>146</v>
      </c>
      <c r="B128" s="12" t="s">
        <v>16</v>
      </c>
      <c r="C128" s="27"/>
      <c r="D128" s="33"/>
      <c r="E128" s="27"/>
      <c r="F128" s="27"/>
    </row>
    <row r="129" spans="1:6" ht="16" thickBot="1" x14ac:dyDescent="0.4">
      <c r="A129" s="12" t="s">
        <v>147</v>
      </c>
      <c r="B129" s="12" t="s">
        <v>16</v>
      </c>
      <c r="C129" s="27"/>
      <c r="D129" s="33"/>
      <c r="E129" s="27"/>
      <c r="F129" s="27"/>
    </row>
    <row r="130" spans="1:6" ht="16" thickBot="1" x14ac:dyDescent="0.4">
      <c r="A130" s="12" t="s">
        <v>148</v>
      </c>
      <c r="B130" s="12" t="s">
        <v>4</v>
      </c>
      <c r="C130" s="27"/>
      <c r="D130" s="33"/>
      <c r="E130" s="27"/>
      <c r="F130" s="27"/>
    </row>
    <row r="131" spans="1:6" ht="16" thickBot="1" x14ac:dyDescent="0.4">
      <c r="A131" s="12" t="s">
        <v>149</v>
      </c>
      <c r="B131" s="12" t="s">
        <v>16</v>
      </c>
      <c r="C131" s="27"/>
      <c r="D131" s="33"/>
      <c r="E131" s="27"/>
      <c r="F131" s="27"/>
    </row>
    <row r="132" spans="1:6" ht="16" thickBot="1" x14ac:dyDescent="0.4">
      <c r="A132" s="12" t="s">
        <v>150</v>
      </c>
      <c r="B132" s="12" t="s">
        <v>16</v>
      </c>
      <c r="C132" s="27"/>
      <c r="D132" s="33"/>
      <c r="E132" s="27"/>
      <c r="F132" s="27"/>
    </row>
    <row r="133" spans="1:6" ht="16" thickBot="1" x14ac:dyDescent="0.4">
      <c r="A133" s="12" t="s">
        <v>151</v>
      </c>
      <c r="B133" s="12" t="s">
        <v>13</v>
      </c>
      <c r="C133" s="27"/>
      <c r="D133" s="33"/>
      <c r="E133" s="27"/>
      <c r="F133" s="27"/>
    </row>
    <row r="134" spans="1:6" ht="16" thickBot="1" x14ac:dyDescent="0.4">
      <c r="A134" s="12" t="s">
        <v>152</v>
      </c>
      <c r="B134" s="12" t="s">
        <v>16</v>
      </c>
      <c r="C134" s="27"/>
      <c r="D134" s="33"/>
      <c r="E134" s="27"/>
      <c r="F134" s="27"/>
    </row>
    <row r="135" spans="1:6" ht="16" thickBot="1" x14ac:dyDescent="0.4">
      <c r="A135" s="12" t="s">
        <v>153</v>
      </c>
      <c r="B135" s="12" t="s">
        <v>16</v>
      </c>
      <c r="C135" s="27"/>
      <c r="D135" s="33"/>
      <c r="E135" s="27"/>
      <c r="F135" s="27"/>
    </row>
    <row r="136" spans="1:6" ht="16" thickBot="1" x14ac:dyDescent="0.4">
      <c r="A136" s="12" t="s">
        <v>154</v>
      </c>
      <c r="B136" s="12" t="s">
        <v>13</v>
      </c>
      <c r="C136" s="27"/>
      <c r="D136" s="33"/>
      <c r="E136" s="27"/>
      <c r="F136" s="27"/>
    </row>
    <row r="137" spans="1:6" ht="16" thickBot="1" x14ac:dyDescent="0.4">
      <c r="A137" s="12" t="s">
        <v>155</v>
      </c>
      <c r="B137" s="12" t="s">
        <v>16</v>
      </c>
      <c r="C137" s="27"/>
      <c r="D137" s="33"/>
      <c r="E137" s="27"/>
      <c r="F137" s="27"/>
    </row>
    <row r="138" spans="1:6" ht="16" thickBot="1" x14ac:dyDescent="0.4">
      <c r="A138" s="12" t="s">
        <v>156</v>
      </c>
      <c r="B138" s="12" t="s">
        <v>16</v>
      </c>
      <c r="C138" s="27"/>
      <c r="D138" s="33"/>
      <c r="E138" s="27"/>
      <c r="F138" s="27"/>
    </row>
    <row r="139" spans="1:6" ht="16" thickBot="1" x14ac:dyDescent="0.4">
      <c r="A139" s="12" t="s">
        <v>157</v>
      </c>
      <c r="B139" s="12" t="s">
        <v>16</v>
      </c>
      <c r="C139" s="27"/>
      <c r="D139" s="33"/>
      <c r="E139" s="27"/>
      <c r="F139" s="27"/>
    </row>
    <row r="140" spans="1:6" ht="16" thickBot="1" x14ac:dyDescent="0.4">
      <c r="A140" s="12" t="s">
        <v>158</v>
      </c>
      <c r="B140" s="12" t="s">
        <v>16</v>
      </c>
      <c r="C140" s="27"/>
      <c r="D140" s="33"/>
      <c r="E140" s="27"/>
      <c r="F140" s="27"/>
    </row>
    <row r="141" spans="1:6" ht="16" thickBot="1" x14ac:dyDescent="0.4">
      <c r="A141" s="12" t="s">
        <v>159</v>
      </c>
      <c r="B141" s="12" t="s">
        <v>16</v>
      </c>
      <c r="C141" s="27"/>
      <c r="D141" s="33"/>
      <c r="E141" s="27"/>
      <c r="F141" s="27"/>
    </row>
    <row r="142" spans="1:6" ht="16" thickBot="1" x14ac:dyDescent="0.4">
      <c r="A142" s="12" t="s">
        <v>160</v>
      </c>
      <c r="B142" s="12" t="s">
        <v>16</v>
      </c>
      <c r="C142" s="27"/>
      <c r="D142" s="33"/>
      <c r="E142" s="27"/>
      <c r="F142" s="27"/>
    </row>
    <row r="143" spans="1:6" ht="16" thickBot="1" x14ac:dyDescent="0.4">
      <c r="A143" s="12" t="s">
        <v>161</v>
      </c>
      <c r="B143" s="12" t="s">
        <v>16</v>
      </c>
      <c r="C143" s="27"/>
      <c r="D143" s="33"/>
      <c r="E143" s="27"/>
      <c r="F143" s="27"/>
    </row>
    <row r="144" spans="1:6" ht="16" thickBot="1" x14ac:dyDescent="0.4">
      <c r="A144" s="12" t="s">
        <v>162</v>
      </c>
      <c r="B144" s="12" t="s">
        <v>20</v>
      </c>
      <c r="C144" s="27"/>
      <c r="D144" s="33"/>
      <c r="E144" s="27"/>
      <c r="F144" s="27"/>
    </row>
    <row r="145" spans="1:6" ht="16" thickBot="1" x14ac:dyDescent="0.4">
      <c r="A145" s="12" t="s">
        <v>163</v>
      </c>
      <c r="B145" s="12" t="s">
        <v>13</v>
      </c>
      <c r="C145" s="27"/>
      <c r="D145" s="33"/>
      <c r="E145" s="27"/>
      <c r="F145" s="27"/>
    </row>
    <row r="146" spans="1:6" ht="16" thickBot="1" x14ac:dyDescent="0.4">
      <c r="A146" s="12" t="s">
        <v>164</v>
      </c>
      <c r="B146" s="12" t="s">
        <v>13</v>
      </c>
      <c r="C146" s="27"/>
      <c r="D146" s="33"/>
      <c r="E146" s="27"/>
      <c r="F146" s="27"/>
    </row>
    <row r="147" spans="1:6" ht="16" thickBot="1" x14ac:dyDescent="0.4">
      <c r="A147" s="12" t="s">
        <v>165</v>
      </c>
      <c r="B147" s="12" t="s">
        <v>16</v>
      </c>
      <c r="C147" s="27"/>
      <c r="D147" s="33"/>
      <c r="E147" s="27"/>
      <c r="F147" s="27"/>
    </row>
    <row r="148" spans="1:6" ht="16" thickBot="1" x14ac:dyDescent="0.4">
      <c r="A148" s="12" t="s">
        <v>166</v>
      </c>
      <c r="B148" s="12" t="s">
        <v>16</v>
      </c>
      <c r="C148" s="27"/>
      <c r="D148" s="33"/>
      <c r="E148" s="27"/>
      <c r="F148" s="27"/>
    </row>
    <row r="149" spans="1:6" ht="16" thickBot="1" x14ac:dyDescent="0.4">
      <c r="A149" s="12" t="s">
        <v>167</v>
      </c>
      <c r="B149" s="12" t="s">
        <v>16</v>
      </c>
      <c r="C149" s="27"/>
      <c r="D149" s="33"/>
      <c r="E149" s="27"/>
      <c r="F149" s="27"/>
    </row>
    <row r="150" spans="1:6" ht="16" thickBot="1" x14ac:dyDescent="0.4">
      <c r="A150" s="12" t="s">
        <v>168</v>
      </c>
      <c r="B150" s="12" t="s">
        <v>16</v>
      </c>
      <c r="C150" s="27"/>
      <c r="D150" s="33"/>
      <c r="E150" s="27"/>
      <c r="F150" s="27"/>
    </row>
    <row r="151" spans="1:6" ht="16" thickBot="1" x14ac:dyDescent="0.4">
      <c r="A151" s="12" t="s">
        <v>169</v>
      </c>
      <c r="B151" s="12" t="s">
        <v>16</v>
      </c>
      <c r="C151" s="27"/>
      <c r="D151" s="33"/>
      <c r="E151" s="27"/>
      <c r="F151" s="27"/>
    </row>
    <row r="152" spans="1:6" ht="16" thickBot="1" x14ac:dyDescent="0.4">
      <c r="A152" s="12" t="s">
        <v>170</v>
      </c>
      <c r="B152" s="12" t="s">
        <v>20</v>
      </c>
      <c r="C152" s="27"/>
      <c r="D152" s="33"/>
      <c r="E152" s="27"/>
      <c r="F152" s="27"/>
    </row>
    <row r="153" spans="1:6" ht="16" thickBot="1" x14ac:dyDescent="0.4">
      <c r="A153" s="12" t="s">
        <v>171</v>
      </c>
      <c r="B153" s="12" t="s">
        <v>20</v>
      </c>
      <c r="C153" s="27"/>
      <c r="D153" s="33"/>
      <c r="E153" s="27"/>
      <c r="F153" s="27"/>
    </row>
    <row r="154" spans="1:6" ht="16" thickBot="1" x14ac:dyDescent="0.4">
      <c r="A154" s="12" t="s">
        <v>172</v>
      </c>
      <c r="B154" s="12" t="s">
        <v>13</v>
      </c>
      <c r="C154" s="27"/>
      <c r="D154" s="33"/>
      <c r="E154" s="27"/>
      <c r="F154" s="27"/>
    </row>
    <row r="155" spans="1:6" ht="16" thickBot="1" x14ac:dyDescent="0.4">
      <c r="A155" s="12" t="s">
        <v>173</v>
      </c>
      <c r="B155" s="12" t="s">
        <v>13</v>
      </c>
      <c r="C155" s="27"/>
      <c r="D155" s="33"/>
      <c r="E155" s="27"/>
      <c r="F155" s="27"/>
    </row>
    <row r="156" spans="1:6" ht="16" thickBot="1" x14ac:dyDescent="0.4">
      <c r="A156" s="12" t="s">
        <v>174</v>
      </c>
      <c r="B156" s="12" t="s">
        <v>16</v>
      </c>
      <c r="C156" s="27"/>
      <c r="D156" s="33"/>
      <c r="E156" s="27"/>
      <c r="F156" s="27"/>
    </row>
    <row r="157" spans="1:6" ht="16" thickBot="1" x14ac:dyDescent="0.4">
      <c r="A157" s="12" t="s">
        <v>175</v>
      </c>
      <c r="B157" s="12" t="s">
        <v>16</v>
      </c>
      <c r="C157" s="27"/>
      <c r="D157" s="33"/>
      <c r="E157" s="27"/>
      <c r="F157" s="27"/>
    </row>
    <row r="158" spans="1:6" ht="16" thickBot="1" x14ac:dyDescent="0.4">
      <c r="A158" s="12" t="s">
        <v>176</v>
      </c>
      <c r="B158" s="12" t="s">
        <v>16</v>
      </c>
      <c r="C158" s="27"/>
      <c r="D158" s="33"/>
      <c r="E158" s="27"/>
      <c r="F158" s="27"/>
    </row>
    <row r="159" spans="1:6" ht="16" thickBot="1" x14ac:dyDescent="0.4">
      <c r="A159" s="12" t="s">
        <v>177</v>
      </c>
      <c r="B159" s="12" t="s">
        <v>4</v>
      </c>
      <c r="C159" s="27"/>
      <c r="D159" s="33"/>
      <c r="E159" s="27"/>
      <c r="F159" s="27"/>
    </row>
    <row r="160" spans="1:6" ht="16" thickBot="1" x14ac:dyDescent="0.4">
      <c r="A160" s="12" t="s">
        <v>178</v>
      </c>
      <c r="B160" s="12" t="s">
        <v>16</v>
      </c>
      <c r="C160" s="27"/>
      <c r="D160" s="33"/>
      <c r="E160" s="27"/>
      <c r="F160" s="27"/>
    </row>
    <row r="161" spans="1:6" ht="16" thickBot="1" x14ac:dyDescent="0.4">
      <c r="A161" s="12" t="s">
        <v>179</v>
      </c>
      <c r="B161" s="12" t="s">
        <v>16</v>
      </c>
      <c r="C161" s="27"/>
      <c r="D161" s="33"/>
      <c r="E161" s="27"/>
      <c r="F161" s="27"/>
    </row>
    <row r="162" spans="1:6" ht="16" thickBot="1" x14ac:dyDescent="0.4">
      <c r="A162" s="12" t="s">
        <v>180</v>
      </c>
      <c r="B162" s="12" t="s">
        <v>16</v>
      </c>
      <c r="C162" s="27"/>
      <c r="D162" s="33"/>
      <c r="E162" s="27"/>
      <c r="F162" s="27"/>
    </row>
    <row r="163" spans="1:6" ht="16" thickBot="1" x14ac:dyDescent="0.4">
      <c r="A163" s="12" t="s">
        <v>181</v>
      </c>
      <c r="B163" s="12" t="s">
        <v>16</v>
      </c>
      <c r="C163" s="27"/>
      <c r="D163" s="33"/>
      <c r="E163" s="27"/>
      <c r="F163" s="27"/>
    </row>
    <row r="164" spans="1:6" ht="16" thickBot="1" x14ac:dyDescent="0.4">
      <c r="A164" s="12" t="s">
        <v>182</v>
      </c>
      <c r="B164" s="12" t="s">
        <v>16</v>
      </c>
      <c r="C164" s="27"/>
      <c r="D164" s="33"/>
      <c r="E164" s="27"/>
      <c r="F164" s="27"/>
    </row>
    <row r="165" spans="1:6" ht="16" thickBot="1" x14ac:dyDescent="0.4">
      <c r="A165" s="12" t="s">
        <v>183</v>
      </c>
      <c r="B165" s="12" t="s">
        <v>20</v>
      </c>
      <c r="C165" s="27"/>
      <c r="D165" s="33"/>
      <c r="E165" s="27"/>
      <c r="F165" s="27"/>
    </row>
    <row r="166" spans="1:6" ht="16" thickBot="1" x14ac:dyDescent="0.4">
      <c r="A166" s="12" t="s">
        <v>184</v>
      </c>
      <c r="B166" s="12" t="s">
        <v>20</v>
      </c>
      <c r="C166" s="27"/>
      <c r="D166" s="33"/>
      <c r="E166" s="27"/>
      <c r="F166" s="27"/>
    </row>
    <row r="167" spans="1:6" ht="16" thickBot="1" x14ac:dyDescent="0.4">
      <c r="A167" s="12" t="s">
        <v>185</v>
      </c>
      <c r="B167" s="12" t="s">
        <v>13</v>
      </c>
      <c r="C167" s="27"/>
      <c r="D167" s="33"/>
      <c r="E167" s="27"/>
      <c r="F167" s="27"/>
    </row>
    <row r="168" spans="1:6" ht="16" thickBot="1" x14ac:dyDescent="0.4">
      <c r="A168" s="12" t="s">
        <v>186</v>
      </c>
      <c r="B168" s="12" t="s">
        <v>13</v>
      </c>
      <c r="C168" s="27"/>
      <c r="D168" s="33"/>
      <c r="E168" s="27"/>
      <c r="F168" s="27"/>
    </row>
    <row r="169" spans="1:6" ht="16" thickBot="1" x14ac:dyDescent="0.4">
      <c r="A169" s="12" t="s">
        <v>187</v>
      </c>
      <c r="B169" s="12" t="s">
        <v>20</v>
      </c>
      <c r="C169" s="27"/>
      <c r="D169" s="33"/>
      <c r="E169" s="27"/>
      <c r="F169" s="27"/>
    </row>
    <row r="170" spans="1:6" ht="16" thickBot="1" x14ac:dyDescent="0.4">
      <c r="A170" s="12" t="s">
        <v>188</v>
      </c>
      <c r="B170" s="12" t="s">
        <v>16</v>
      </c>
      <c r="C170" s="27"/>
      <c r="D170" s="33"/>
      <c r="E170" s="27"/>
      <c r="F170" s="27"/>
    </row>
    <row r="171" spans="1:6" ht="16" thickBot="1" x14ac:dyDescent="0.4">
      <c r="A171" s="12" t="s">
        <v>189</v>
      </c>
      <c r="B171" s="12" t="s">
        <v>20</v>
      </c>
      <c r="C171" s="27"/>
      <c r="D171" s="33"/>
      <c r="E171" s="27"/>
      <c r="F171" s="27"/>
    </row>
    <row r="172" spans="1:6" ht="16" thickBot="1" x14ac:dyDescent="0.4">
      <c r="A172" s="12" t="s">
        <v>190</v>
      </c>
      <c r="B172" s="12" t="s">
        <v>16</v>
      </c>
      <c r="C172" s="27"/>
      <c r="D172" s="33"/>
      <c r="E172" s="27"/>
      <c r="F172" s="27"/>
    </row>
    <row r="173" spans="1:6" ht="16" thickBot="1" x14ac:dyDescent="0.4">
      <c r="A173" s="12" t="s">
        <v>191</v>
      </c>
      <c r="B173" s="12" t="s">
        <v>16</v>
      </c>
      <c r="C173" s="27"/>
      <c r="D173" s="33"/>
      <c r="E173" s="27"/>
      <c r="F173" s="27"/>
    </row>
    <row r="174" spans="1:6" ht="16" thickBot="1" x14ac:dyDescent="0.4">
      <c r="A174" s="12" t="s">
        <v>192</v>
      </c>
      <c r="B174" s="12" t="s">
        <v>16</v>
      </c>
      <c r="C174" s="27"/>
      <c r="D174" s="33"/>
      <c r="E174" s="27"/>
      <c r="F174" s="27"/>
    </row>
    <row r="175" spans="1:6" ht="16" thickBot="1" x14ac:dyDescent="0.4">
      <c r="A175" s="12" t="s">
        <v>193</v>
      </c>
      <c r="B175" s="12" t="s">
        <v>16</v>
      </c>
      <c r="C175" s="27"/>
      <c r="D175" s="33"/>
      <c r="E175" s="27"/>
      <c r="F175" s="27"/>
    </row>
    <row r="176" spans="1:6" ht="16" thickBot="1" x14ac:dyDescent="0.4">
      <c r="A176" s="12" t="s">
        <v>194</v>
      </c>
      <c r="B176" s="12" t="s">
        <v>16</v>
      </c>
      <c r="C176" s="27"/>
      <c r="D176" s="33"/>
      <c r="E176" s="27"/>
      <c r="F176" s="27"/>
    </row>
    <row r="177" spans="1:6" ht="16" thickBot="1" x14ac:dyDescent="0.4">
      <c r="A177" s="12" t="s">
        <v>195</v>
      </c>
      <c r="B177" s="12" t="s">
        <v>13</v>
      </c>
      <c r="C177" s="27"/>
      <c r="D177" s="33"/>
      <c r="E177" s="27"/>
      <c r="F177" s="27"/>
    </row>
    <row r="178" spans="1:6" ht="16" thickBot="1" x14ac:dyDescent="0.4">
      <c r="A178" s="12" t="s">
        <v>196</v>
      </c>
      <c r="B178" s="12" t="s">
        <v>16</v>
      </c>
      <c r="C178" s="27"/>
      <c r="D178" s="33"/>
      <c r="E178" s="27"/>
      <c r="F178" s="27"/>
    </row>
    <row r="179" spans="1:6" ht="16" thickBot="1" x14ac:dyDescent="0.4">
      <c r="A179" s="12" t="s">
        <v>197</v>
      </c>
      <c r="B179" s="12" t="s">
        <v>16</v>
      </c>
      <c r="C179" s="27"/>
      <c r="D179" s="33"/>
      <c r="E179" s="27"/>
      <c r="F179" s="27"/>
    </row>
    <row r="180" spans="1:6" ht="16" thickBot="1" x14ac:dyDescent="0.4">
      <c r="A180" s="12" t="s">
        <v>198</v>
      </c>
      <c r="B180" s="12" t="s">
        <v>16</v>
      </c>
      <c r="C180" s="27"/>
      <c r="D180" s="33"/>
      <c r="E180" s="27"/>
      <c r="F180" s="27"/>
    </row>
    <row r="181" spans="1:6" ht="16" thickBot="1" x14ac:dyDescent="0.4">
      <c r="A181" s="12" t="s">
        <v>199</v>
      </c>
      <c r="B181" s="12" t="s">
        <v>16</v>
      </c>
      <c r="C181" s="27"/>
      <c r="D181" s="33"/>
      <c r="E181" s="27"/>
      <c r="F181" s="27"/>
    </row>
    <row r="182" spans="1:6" ht="16" thickBot="1" x14ac:dyDescent="0.4">
      <c r="A182" s="12" t="s">
        <v>200</v>
      </c>
      <c r="B182" s="12" t="s">
        <v>13</v>
      </c>
      <c r="C182" s="27"/>
      <c r="D182" s="33"/>
      <c r="E182" s="27"/>
      <c r="F182" s="27"/>
    </row>
    <row r="183" spans="1:6" ht="16" thickBot="1" x14ac:dyDescent="0.4">
      <c r="A183" s="12" t="s">
        <v>201</v>
      </c>
      <c r="B183" s="12" t="s">
        <v>20</v>
      </c>
      <c r="C183" s="27"/>
      <c r="D183" s="33"/>
      <c r="E183" s="27"/>
      <c r="F183" s="27"/>
    </row>
    <row r="184" spans="1:6" ht="16" thickBot="1" x14ac:dyDescent="0.4">
      <c r="A184" s="12" t="s">
        <v>202</v>
      </c>
      <c r="B184" s="12" t="s">
        <v>16</v>
      </c>
      <c r="C184" s="27"/>
      <c r="D184" s="33"/>
      <c r="E184" s="27"/>
      <c r="F184" s="27"/>
    </row>
    <row r="185" spans="1:6" ht="16" thickBot="1" x14ac:dyDescent="0.4">
      <c r="A185" s="12" t="s">
        <v>203</v>
      </c>
      <c r="B185" s="12" t="s">
        <v>16</v>
      </c>
      <c r="C185" s="27"/>
      <c r="D185" s="33"/>
      <c r="E185" s="27"/>
      <c r="F185" s="27"/>
    </row>
    <row r="186" spans="1:6" ht="16" thickBot="1" x14ac:dyDescent="0.4">
      <c r="A186" s="12" t="s">
        <v>204</v>
      </c>
      <c r="B186" s="12" t="s">
        <v>16</v>
      </c>
      <c r="C186" s="27"/>
      <c r="D186" s="33"/>
      <c r="E186" s="27"/>
      <c r="F186" s="27"/>
    </row>
    <row r="187" spans="1:6" ht="16" thickBot="1" x14ac:dyDescent="0.4">
      <c r="A187" s="12" t="s">
        <v>205</v>
      </c>
      <c r="B187" s="12" t="s">
        <v>16</v>
      </c>
      <c r="C187" s="27"/>
      <c r="D187" s="33"/>
      <c r="E187" s="27"/>
      <c r="F187" s="27"/>
    </row>
    <row r="188" spans="1:6" ht="16" thickBot="1" x14ac:dyDescent="0.4">
      <c r="A188" s="12" t="s">
        <v>205</v>
      </c>
      <c r="B188" s="12" t="s">
        <v>16</v>
      </c>
      <c r="C188" s="27"/>
      <c r="D188" s="33"/>
      <c r="E188" s="27"/>
      <c r="F188" s="27"/>
    </row>
    <row r="189" spans="1:6" ht="16" thickBot="1" x14ac:dyDescent="0.4">
      <c r="A189" s="12" t="s">
        <v>206</v>
      </c>
      <c r="B189" s="12" t="s">
        <v>13</v>
      </c>
      <c r="C189" s="27"/>
      <c r="D189" s="33"/>
      <c r="E189" s="27"/>
      <c r="F189" s="27"/>
    </row>
    <row r="190" spans="1:6" ht="16" thickBot="1" x14ac:dyDescent="0.4">
      <c r="A190" s="12" t="s">
        <v>207</v>
      </c>
      <c r="B190" s="12" t="s">
        <v>16</v>
      </c>
      <c r="C190" s="27"/>
      <c r="D190" s="33"/>
      <c r="E190" s="27"/>
      <c r="F190" s="27"/>
    </row>
    <row r="191" spans="1:6" ht="16" thickBot="1" x14ac:dyDescent="0.4">
      <c r="A191" s="12" t="s">
        <v>208</v>
      </c>
      <c r="B191" s="12" t="s">
        <v>13</v>
      </c>
      <c r="C191" s="27"/>
      <c r="D191" s="33"/>
      <c r="E191" s="27"/>
      <c r="F191" s="27"/>
    </row>
    <row r="192" spans="1:6" ht="16" thickBot="1" x14ac:dyDescent="0.4">
      <c r="A192" s="12" t="s">
        <v>209</v>
      </c>
      <c r="B192" s="12" t="s">
        <v>13</v>
      </c>
      <c r="C192" s="27"/>
      <c r="D192" s="33"/>
      <c r="E192" s="27"/>
      <c r="F192" s="27"/>
    </row>
    <row r="193" spans="1:6" ht="16" thickBot="1" x14ac:dyDescent="0.4">
      <c r="A193" s="12" t="s">
        <v>210</v>
      </c>
      <c r="B193" s="12" t="s">
        <v>16</v>
      </c>
      <c r="C193" s="27"/>
      <c r="D193" s="33"/>
      <c r="E193" s="27"/>
      <c r="F193" s="27"/>
    </row>
    <row r="194" spans="1:6" ht="16" thickBot="1" x14ac:dyDescent="0.4">
      <c r="A194" s="12" t="s">
        <v>211</v>
      </c>
      <c r="B194" s="12" t="s">
        <v>13</v>
      </c>
      <c r="C194" s="27"/>
      <c r="D194" s="33"/>
      <c r="E194" s="27"/>
      <c r="F194" s="27"/>
    </row>
    <row r="195" spans="1:6" ht="16" thickBot="1" x14ac:dyDescent="0.4">
      <c r="A195" s="12" t="s">
        <v>212</v>
      </c>
      <c r="B195" s="12" t="s">
        <v>16</v>
      </c>
      <c r="C195" s="27"/>
      <c r="D195" s="33"/>
      <c r="E195" s="27"/>
      <c r="F195" s="27"/>
    </row>
    <row r="196" spans="1:6" ht="16" thickBot="1" x14ac:dyDescent="0.4">
      <c r="A196" s="12" t="s">
        <v>213</v>
      </c>
      <c r="B196" s="12" t="s">
        <v>16</v>
      </c>
      <c r="C196" s="27"/>
      <c r="D196" s="33"/>
      <c r="E196" s="27"/>
      <c r="F196" s="27"/>
    </row>
    <row r="197" spans="1:6" ht="16" thickBot="1" x14ac:dyDescent="0.4">
      <c r="A197" s="12" t="s">
        <v>214</v>
      </c>
      <c r="B197" s="12" t="s">
        <v>16</v>
      </c>
      <c r="C197" s="27"/>
      <c r="D197" s="33"/>
      <c r="E197" s="27"/>
      <c r="F197" s="27"/>
    </row>
    <row r="198" spans="1:6" ht="16" thickBot="1" x14ac:dyDescent="0.4">
      <c r="A198" s="12" t="s">
        <v>215</v>
      </c>
      <c r="B198" s="12" t="s">
        <v>16</v>
      </c>
      <c r="C198" s="27"/>
      <c r="D198" s="33"/>
      <c r="E198" s="27"/>
      <c r="F198" s="27"/>
    </row>
    <row r="199" spans="1:6" ht="16" thickBot="1" x14ac:dyDescent="0.4">
      <c r="A199" s="12" t="s">
        <v>216</v>
      </c>
      <c r="B199" s="12" t="s">
        <v>217</v>
      </c>
      <c r="C199" s="27"/>
      <c r="D199" s="33"/>
      <c r="E199" s="27"/>
      <c r="F199" s="27"/>
    </row>
    <row r="200" spans="1:6" ht="16" thickBot="1" x14ac:dyDescent="0.4">
      <c r="A200" s="12" t="s">
        <v>218</v>
      </c>
      <c r="B200" s="12" t="s">
        <v>16</v>
      </c>
      <c r="C200" s="27"/>
      <c r="D200" s="33"/>
      <c r="E200" s="27"/>
      <c r="F200" s="27"/>
    </row>
    <row r="201" spans="1:6" ht="16" thickBot="1" x14ac:dyDescent="0.4">
      <c r="A201" s="12" t="s">
        <v>219</v>
      </c>
      <c r="B201" s="12" t="s">
        <v>13</v>
      </c>
      <c r="C201" s="27"/>
      <c r="D201" s="33"/>
      <c r="E201" s="27"/>
      <c r="F201" s="27"/>
    </row>
    <row r="202" spans="1:6" ht="16" thickBot="1" x14ac:dyDescent="0.4">
      <c r="A202" s="12" t="s">
        <v>220</v>
      </c>
      <c r="B202" s="12" t="s">
        <v>16</v>
      </c>
      <c r="C202" s="27"/>
      <c r="D202" s="33"/>
      <c r="E202" s="27"/>
      <c r="F202" s="27"/>
    </row>
    <row r="203" spans="1:6" ht="16" thickBot="1" x14ac:dyDescent="0.4">
      <c r="A203" s="12" t="s">
        <v>221</v>
      </c>
      <c r="B203" s="12" t="s">
        <v>13</v>
      </c>
      <c r="C203" s="27"/>
      <c r="D203" s="33"/>
      <c r="E203" s="27"/>
      <c r="F203" s="27"/>
    </row>
    <row r="204" spans="1:6" ht="16" thickBot="1" x14ac:dyDescent="0.4">
      <c r="A204" s="12" t="s">
        <v>222</v>
      </c>
      <c r="B204" s="12" t="s">
        <v>16</v>
      </c>
      <c r="C204" s="27"/>
      <c r="D204" s="33"/>
      <c r="E204" s="27"/>
      <c r="F204" s="27"/>
    </row>
    <row r="205" spans="1:6" ht="16" thickBot="1" x14ac:dyDescent="0.4">
      <c r="A205" s="12" t="s">
        <v>223</v>
      </c>
      <c r="B205" s="12" t="s">
        <v>16</v>
      </c>
      <c r="C205" s="27"/>
      <c r="D205" s="33"/>
      <c r="E205" s="27"/>
      <c r="F205" s="27"/>
    </row>
    <row r="206" spans="1:6" ht="16" thickBot="1" x14ac:dyDescent="0.4">
      <c r="A206" s="12" t="s">
        <v>224</v>
      </c>
      <c r="B206" s="12" t="s">
        <v>16</v>
      </c>
      <c r="C206" s="27"/>
      <c r="D206" s="33"/>
      <c r="E206" s="27"/>
      <c r="F206" s="27"/>
    </row>
    <row r="207" spans="1:6" ht="16" thickBot="1" x14ac:dyDescent="0.4">
      <c r="A207" s="12" t="s">
        <v>225</v>
      </c>
      <c r="B207" s="12" t="s">
        <v>16</v>
      </c>
      <c r="C207" s="27"/>
      <c r="D207" s="33"/>
      <c r="E207" s="27"/>
      <c r="F207" s="27"/>
    </row>
    <row r="208" spans="1:6" ht="16" thickBot="1" x14ac:dyDescent="0.4">
      <c r="A208" s="12" t="s">
        <v>226</v>
      </c>
      <c r="B208" s="12" t="s">
        <v>16</v>
      </c>
      <c r="C208" s="27"/>
      <c r="D208" s="33"/>
      <c r="E208" s="27"/>
      <c r="F208" s="27"/>
    </row>
    <row r="209" spans="1:6" ht="16" thickBot="1" x14ac:dyDescent="0.4">
      <c r="A209" s="12" t="s">
        <v>227</v>
      </c>
      <c r="B209" s="12" t="s">
        <v>16</v>
      </c>
      <c r="C209" s="27"/>
      <c r="D209" s="33"/>
      <c r="E209" s="27"/>
      <c r="F209" s="27"/>
    </row>
    <row r="210" spans="1:6" ht="16" thickBot="1" x14ac:dyDescent="0.4">
      <c r="A210" s="12" t="s">
        <v>228</v>
      </c>
      <c r="B210" s="12" t="s">
        <v>16</v>
      </c>
      <c r="C210" s="27"/>
      <c r="D210" s="33"/>
      <c r="E210" s="27"/>
      <c r="F210" s="27"/>
    </row>
    <row r="211" spans="1:6" ht="16" thickBot="1" x14ac:dyDescent="0.4">
      <c r="A211" s="12" t="s">
        <v>229</v>
      </c>
      <c r="B211" s="12" t="s">
        <v>16</v>
      </c>
      <c r="C211" s="27"/>
      <c r="D211" s="33"/>
      <c r="E211" s="27"/>
      <c r="F211" s="27"/>
    </row>
    <row r="212" spans="1:6" ht="16" thickBot="1" x14ac:dyDescent="0.4">
      <c r="A212" s="12" t="s">
        <v>230</v>
      </c>
      <c r="B212" s="12" t="s">
        <v>13</v>
      </c>
      <c r="C212" s="27"/>
      <c r="D212" s="33"/>
      <c r="E212" s="27"/>
      <c r="F212" s="27"/>
    </row>
    <row r="213" spans="1:6" ht="16" thickBot="1" x14ac:dyDescent="0.4">
      <c r="A213" s="12" t="s">
        <v>231</v>
      </c>
      <c r="B213" s="12" t="s">
        <v>20</v>
      </c>
      <c r="C213" s="27"/>
      <c r="D213" s="33"/>
      <c r="E213" s="27"/>
      <c r="F213" s="27"/>
    </row>
    <row r="214" spans="1:6" ht="16" thickBot="1" x14ac:dyDescent="0.4">
      <c r="A214" s="12" t="s">
        <v>232</v>
      </c>
      <c r="B214" s="12" t="s">
        <v>4</v>
      </c>
      <c r="C214" s="27"/>
      <c r="D214" s="33"/>
      <c r="E214" s="27"/>
      <c r="F214" s="27"/>
    </row>
    <row r="215" spans="1:6" ht="16" thickBot="1" x14ac:dyDescent="0.4">
      <c r="A215" s="12" t="s">
        <v>233</v>
      </c>
      <c r="B215" s="12" t="s">
        <v>16</v>
      </c>
      <c r="C215" s="27"/>
      <c r="D215" s="33"/>
      <c r="E215" s="27"/>
      <c r="F215" s="27"/>
    </row>
    <row r="216" spans="1:6" ht="16" thickBot="1" x14ac:dyDescent="0.4">
      <c r="A216" s="12" t="s">
        <v>234</v>
      </c>
      <c r="B216" s="12" t="s">
        <v>20</v>
      </c>
      <c r="C216" s="27"/>
      <c r="D216" s="33"/>
      <c r="E216" s="27"/>
      <c r="F216" s="27"/>
    </row>
    <row r="217" spans="1:6" ht="16" thickBot="1" x14ac:dyDescent="0.4">
      <c r="A217" s="12" t="s">
        <v>235</v>
      </c>
      <c r="B217" s="12" t="s">
        <v>16</v>
      </c>
      <c r="C217" s="27"/>
      <c r="D217" s="33"/>
      <c r="E217" s="27"/>
      <c r="F217" s="27"/>
    </row>
    <row r="218" spans="1:6" ht="16" thickBot="1" x14ac:dyDescent="0.4">
      <c r="A218" s="12" t="s">
        <v>236</v>
      </c>
      <c r="B218" s="12" t="s">
        <v>20</v>
      </c>
      <c r="C218" s="27"/>
      <c r="D218" s="33"/>
      <c r="E218" s="27"/>
      <c r="F218" s="27"/>
    </row>
    <row r="219" spans="1:6" ht="16" thickBot="1" x14ac:dyDescent="0.4">
      <c r="A219" s="12" t="s">
        <v>237</v>
      </c>
      <c r="B219" s="12" t="s">
        <v>13</v>
      </c>
      <c r="C219" s="27"/>
      <c r="D219" s="33"/>
      <c r="E219" s="27"/>
      <c r="F219" s="27"/>
    </row>
    <row r="220" spans="1:6" ht="16" thickBot="1" x14ac:dyDescent="0.4">
      <c r="A220" s="12" t="s">
        <v>238</v>
      </c>
      <c r="B220" s="12" t="s">
        <v>16</v>
      </c>
      <c r="C220" s="27"/>
      <c r="D220" s="33"/>
      <c r="E220" s="27"/>
      <c r="F220" s="27"/>
    </row>
    <row r="221" spans="1:6" ht="16" thickBot="1" x14ac:dyDescent="0.4">
      <c r="A221" s="12" t="s">
        <v>239</v>
      </c>
      <c r="B221" s="12" t="s">
        <v>13</v>
      </c>
      <c r="C221" s="27"/>
      <c r="D221" s="33"/>
      <c r="E221" s="27"/>
      <c r="F221" s="27"/>
    </row>
    <row r="222" spans="1:6" ht="16" thickBot="1" x14ac:dyDescent="0.4">
      <c r="A222" s="12" t="s">
        <v>240</v>
      </c>
      <c r="B222" s="12" t="s">
        <v>16</v>
      </c>
      <c r="C222" s="27"/>
      <c r="D222" s="33"/>
      <c r="E222" s="27"/>
      <c r="F222" s="27"/>
    </row>
    <row r="223" spans="1:6" ht="16" thickBot="1" x14ac:dyDescent="0.4">
      <c r="A223" s="12" t="s">
        <v>241</v>
      </c>
      <c r="B223" s="12" t="s">
        <v>16</v>
      </c>
      <c r="C223" s="27"/>
      <c r="D223" s="33"/>
      <c r="E223" s="27"/>
      <c r="F223" s="27"/>
    </row>
    <row r="224" spans="1:6" ht="16" thickBot="1" x14ac:dyDescent="0.4">
      <c r="A224" s="12" t="s">
        <v>242</v>
      </c>
      <c r="B224" s="12" t="s">
        <v>16</v>
      </c>
      <c r="C224" s="27"/>
      <c r="D224" s="33"/>
      <c r="E224" s="27"/>
      <c r="F224" s="27"/>
    </row>
    <row r="225" spans="1:6" ht="16" thickBot="1" x14ac:dyDescent="0.4">
      <c r="A225" s="12" t="s">
        <v>243</v>
      </c>
      <c r="B225" s="12" t="s">
        <v>16</v>
      </c>
      <c r="C225" s="27"/>
      <c r="D225" s="33"/>
      <c r="E225" s="27"/>
      <c r="F225" s="27"/>
    </row>
    <row r="226" spans="1:6" ht="16" thickBot="1" x14ac:dyDescent="0.4">
      <c r="A226" s="12" t="s">
        <v>244</v>
      </c>
      <c r="B226" s="12" t="s">
        <v>16</v>
      </c>
      <c r="C226" s="27"/>
      <c r="D226" s="33"/>
      <c r="E226" s="27"/>
      <c r="F226" s="27"/>
    </row>
    <row r="227" spans="1:6" ht="16" thickBot="1" x14ac:dyDescent="0.4">
      <c r="A227" s="12" t="s">
        <v>245</v>
      </c>
      <c r="B227" s="12" t="s">
        <v>16</v>
      </c>
      <c r="C227" s="27"/>
      <c r="D227" s="33"/>
      <c r="E227" s="27"/>
      <c r="F227" s="27"/>
    </row>
    <row r="228" spans="1:6" ht="16" thickBot="1" x14ac:dyDescent="0.4">
      <c r="A228" s="12" t="s">
        <v>246</v>
      </c>
      <c r="B228" s="12" t="s">
        <v>16</v>
      </c>
      <c r="C228" s="27"/>
      <c r="D228" s="33"/>
      <c r="E228" s="27"/>
      <c r="F228" s="27"/>
    </row>
    <row r="229" spans="1:6" ht="16" thickBot="1" x14ac:dyDescent="0.4">
      <c r="A229" s="12" t="s">
        <v>247</v>
      </c>
      <c r="B229" s="12" t="s">
        <v>16</v>
      </c>
      <c r="C229" s="27"/>
      <c r="D229" s="33"/>
      <c r="E229" s="27"/>
      <c r="F229" s="27"/>
    </row>
    <row r="230" spans="1:6" ht="16" thickBot="1" x14ac:dyDescent="0.4">
      <c r="A230" s="12" t="s">
        <v>248</v>
      </c>
      <c r="B230" s="12" t="s">
        <v>16</v>
      </c>
      <c r="C230" s="27"/>
      <c r="D230" s="33"/>
      <c r="E230" s="27"/>
      <c r="F230" s="27"/>
    </row>
    <row r="231" spans="1:6" ht="16" thickBot="1" x14ac:dyDescent="0.4">
      <c r="A231" s="12" t="s">
        <v>249</v>
      </c>
      <c r="B231" s="12" t="s">
        <v>16</v>
      </c>
      <c r="C231" s="27"/>
      <c r="D231" s="33"/>
      <c r="E231" s="27"/>
      <c r="F231" s="27"/>
    </row>
    <row r="232" spans="1:6" ht="16" thickBot="1" x14ac:dyDescent="0.4">
      <c r="A232" s="12" t="s">
        <v>250</v>
      </c>
      <c r="B232" s="12" t="s">
        <v>16</v>
      </c>
      <c r="C232" s="27"/>
      <c r="D232" s="33"/>
      <c r="E232" s="27"/>
      <c r="F232" s="27"/>
    </row>
    <row r="233" spans="1:6" ht="16" thickBot="1" x14ac:dyDescent="0.4">
      <c r="A233" s="12" t="s">
        <v>251</v>
      </c>
      <c r="B233" s="12" t="s">
        <v>16</v>
      </c>
      <c r="C233" s="27"/>
      <c r="D233" s="33"/>
      <c r="E233" s="27"/>
      <c r="F233" s="27"/>
    </row>
    <row r="234" spans="1:6" ht="16" thickBot="1" x14ac:dyDescent="0.4">
      <c r="A234" s="12" t="s">
        <v>252</v>
      </c>
      <c r="B234" s="12" t="s">
        <v>16</v>
      </c>
      <c r="C234" s="27"/>
      <c r="D234" s="33"/>
      <c r="E234" s="27"/>
      <c r="F234" s="27"/>
    </row>
    <row r="235" spans="1:6" ht="16" thickBot="1" x14ac:dyDescent="0.4">
      <c r="A235" s="12" t="s">
        <v>253</v>
      </c>
      <c r="B235" s="12" t="s">
        <v>16</v>
      </c>
      <c r="C235" s="27"/>
      <c r="D235" s="33"/>
      <c r="E235" s="27"/>
      <c r="F235" s="27"/>
    </row>
    <row r="236" spans="1:6" ht="16" thickBot="1" x14ac:dyDescent="0.4">
      <c r="A236" s="12" t="s">
        <v>254</v>
      </c>
      <c r="B236" s="12" t="s">
        <v>16</v>
      </c>
      <c r="C236" s="27"/>
      <c r="D236" s="33"/>
      <c r="E236" s="27"/>
      <c r="F236" s="27"/>
    </row>
    <row r="237" spans="1:6" ht="16" thickBot="1" x14ac:dyDescent="0.4">
      <c r="A237" s="12" t="s">
        <v>255</v>
      </c>
      <c r="B237" s="12" t="s">
        <v>16</v>
      </c>
      <c r="C237" s="27"/>
      <c r="D237" s="33"/>
      <c r="E237" s="27"/>
      <c r="F237" s="27"/>
    </row>
    <row r="238" spans="1:6" ht="16" thickBot="1" x14ac:dyDescent="0.4">
      <c r="A238" s="12" t="s">
        <v>256</v>
      </c>
      <c r="B238" s="12" t="s">
        <v>20</v>
      </c>
      <c r="C238" s="27"/>
      <c r="D238" s="33"/>
      <c r="E238" s="27"/>
      <c r="F238" s="27"/>
    </row>
    <row r="239" spans="1:6" ht="16" thickBot="1" x14ac:dyDescent="0.4">
      <c r="A239" s="12" t="s">
        <v>257</v>
      </c>
      <c r="B239" s="12" t="s">
        <v>16</v>
      </c>
      <c r="C239" s="27"/>
      <c r="D239" s="33"/>
      <c r="E239" s="27"/>
      <c r="F239" s="27"/>
    </row>
    <row r="240" spans="1:6" ht="16" thickBot="1" x14ac:dyDescent="0.4">
      <c r="A240" s="12" t="s">
        <v>258</v>
      </c>
      <c r="B240" s="12" t="s">
        <v>16</v>
      </c>
      <c r="C240" s="27"/>
      <c r="D240" s="33"/>
      <c r="E240" s="27"/>
      <c r="F240" s="27"/>
    </row>
    <row r="241" spans="1:6" ht="16" thickBot="1" x14ac:dyDescent="0.4">
      <c r="A241" s="12" t="s">
        <v>259</v>
      </c>
      <c r="B241" s="12" t="s">
        <v>20</v>
      </c>
      <c r="C241" s="27"/>
      <c r="D241" s="33"/>
      <c r="E241" s="27"/>
      <c r="F241" s="27"/>
    </row>
    <row r="242" spans="1:6" ht="16" thickBot="1" x14ac:dyDescent="0.4">
      <c r="A242" s="12" t="s">
        <v>260</v>
      </c>
      <c r="B242" s="12" t="s">
        <v>20</v>
      </c>
      <c r="C242" s="27"/>
      <c r="D242" s="33"/>
      <c r="E242" s="27"/>
      <c r="F242" s="27"/>
    </row>
    <row r="243" spans="1:6" ht="16" thickBot="1" x14ac:dyDescent="0.4">
      <c r="A243" s="12" t="s">
        <v>261</v>
      </c>
      <c r="B243" s="12" t="s">
        <v>16</v>
      </c>
      <c r="C243" s="27"/>
      <c r="D243" s="33"/>
      <c r="E243" s="27"/>
      <c r="F243" s="27"/>
    </row>
    <row r="244" spans="1:6" ht="16" thickBot="1" x14ac:dyDescent="0.4">
      <c r="A244" s="12" t="s">
        <v>262</v>
      </c>
      <c r="B244" s="12" t="s">
        <v>13</v>
      </c>
      <c r="C244" s="27"/>
      <c r="D244" s="33"/>
      <c r="E244" s="27"/>
      <c r="F244" s="27"/>
    </row>
    <row r="245" spans="1:6" ht="16" thickBot="1" x14ac:dyDescent="0.4">
      <c r="A245" s="12" t="s">
        <v>263</v>
      </c>
      <c r="B245" s="12" t="s">
        <v>16</v>
      </c>
      <c r="C245" s="27"/>
      <c r="D245" s="33"/>
      <c r="E245" s="27"/>
      <c r="F245" s="27"/>
    </row>
    <row r="246" spans="1:6" ht="16" thickBot="1" x14ac:dyDescent="0.4">
      <c r="A246" s="12" t="s">
        <v>264</v>
      </c>
      <c r="B246" s="12" t="s">
        <v>16</v>
      </c>
      <c r="C246" s="27"/>
      <c r="D246" s="33"/>
      <c r="E246" s="27"/>
      <c r="F246" s="27"/>
    </row>
    <row r="247" spans="1:6" ht="16" thickBot="1" x14ac:dyDescent="0.4">
      <c r="A247" s="12" t="s">
        <v>265</v>
      </c>
      <c r="B247" s="12" t="s">
        <v>16</v>
      </c>
      <c r="C247" s="27"/>
      <c r="D247" s="33"/>
      <c r="E247" s="27"/>
      <c r="F247" s="27"/>
    </row>
    <row r="248" spans="1:6" ht="16" thickBot="1" x14ac:dyDescent="0.4">
      <c r="A248" s="12" t="s">
        <v>266</v>
      </c>
      <c r="B248" s="12" t="s">
        <v>16</v>
      </c>
      <c r="C248" s="27"/>
      <c r="D248" s="33"/>
      <c r="E248" s="27"/>
      <c r="F248" s="27"/>
    </row>
    <row r="249" spans="1:6" ht="16" thickBot="1" x14ac:dyDescent="0.4">
      <c r="A249" s="12" t="s">
        <v>267</v>
      </c>
      <c r="B249" s="12" t="s">
        <v>16</v>
      </c>
      <c r="C249" s="27"/>
      <c r="D249" s="33"/>
      <c r="E249" s="27"/>
      <c r="F249" s="27"/>
    </row>
    <row r="250" spans="1:6" ht="16" thickBot="1" x14ac:dyDescent="0.4">
      <c r="A250" s="12" t="s">
        <v>268</v>
      </c>
      <c r="B250" s="12" t="s">
        <v>20</v>
      </c>
      <c r="C250" s="27"/>
      <c r="D250" s="33"/>
      <c r="E250" s="27"/>
      <c r="F250" s="27"/>
    </row>
    <row r="251" spans="1:6" ht="16" thickBot="1" x14ac:dyDescent="0.4">
      <c r="A251" s="12" t="s">
        <v>269</v>
      </c>
      <c r="B251" s="12" t="s">
        <v>20</v>
      </c>
      <c r="C251" s="27"/>
      <c r="D251" s="33"/>
      <c r="E251" s="27"/>
      <c r="F251" s="27"/>
    </row>
    <row r="252" spans="1:6" ht="16" thickBot="1" x14ac:dyDescent="0.4">
      <c r="A252" s="12" t="s">
        <v>270</v>
      </c>
      <c r="B252" s="12" t="s">
        <v>20</v>
      </c>
      <c r="C252" s="27"/>
      <c r="D252" s="33"/>
      <c r="E252" s="27"/>
      <c r="F252" s="27"/>
    </row>
    <row r="253" spans="1:6" ht="16" thickBot="1" x14ac:dyDescent="0.4">
      <c r="A253" s="12" t="s">
        <v>271</v>
      </c>
      <c r="B253" s="12" t="s">
        <v>20</v>
      </c>
      <c r="C253" s="27"/>
      <c r="D253" s="33"/>
      <c r="E253" s="27"/>
      <c r="F253" s="27"/>
    </row>
    <row r="254" spans="1:6" ht="16" thickBot="1" x14ac:dyDescent="0.4">
      <c r="A254" s="12" t="s">
        <v>272</v>
      </c>
      <c r="B254" s="12" t="s">
        <v>20</v>
      </c>
      <c r="C254" s="27"/>
      <c r="D254" s="33"/>
      <c r="E254" s="27"/>
      <c r="F254" s="27"/>
    </row>
    <row r="255" spans="1:6" ht="16" thickBot="1" x14ac:dyDescent="0.4">
      <c r="A255" s="12" t="s">
        <v>273</v>
      </c>
      <c r="B255" s="12" t="s">
        <v>13</v>
      </c>
      <c r="C255" s="27"/>
      <c r="D255" s="33"/>
      <c r="E255" s="27"/>
      <c r="F255" s="27"/>
    </row>
    <row r="256" spans="1:6" ht="16" thickBot="1" x14ac:dyDescent="0.4">
      <c r="A256" s="12" t="s">
        <v>274</v>
      </c>
      <c r="B256" s="12" t="s">
        <v>13</v>
      </c>
      <c r="C256" s="27"/>
      <c r="D256" s="33"/>
      <c r="E256" s="27"/>
      <c r="F256" s="27"/>
    </row>
    <row r="257" spans="1:6" ht="16" thickBot="1" x14ac:dyDescent="0.4">
      <c r="A257" s="12" t="s">
        <v>275</v>
      </c>
      <c r="B257" s="12" t="s">
        <v>16</v>
      </c>
      <c r="C257" s="27"/>
      <c r="D257" s="33"/>
      <c r="E257" s="27"/>
      <c r="F257" s="27"/>
    </row>
    <row r="258" spans="1:6" ht="16" thickBot="1" x14ac:dyDescent="0.4">
      <c r="A258" s="12" t="s">
        <v>276</v>
      </c>
      <c r="B258" s="12" t="s">
        <v>16</v>
      </c>
      <c r="C258" s="27"/>
      <c r="D258" s="33"/>
      <c r="E258" s="27"/>
      <c r="F258" s="27"/>
    </row>
    <row r="259" spans="1:6" ht="16" thickBot="1" x14ac:dyDescent="0.4">
      <c r="A259" s="12" t="s">
        <v>277</v>
      </c>
      <c r="B259" s="12" t="s">
        <v>16</v>
      </c>
      <c r="C259" s="27"/>
      <c r="D259" s="33"/>
      <c r="E259" s="27"/>
      <c r="F259" s="27"/>
    </row>
    <row r="260" spans="1:6" ht="16" thickBot="1" x14ac:dyDescent="0.4">
      <c r="A260" s="12" t="s">
        <v>278</v>
      </c>
      <c r="B260" s="12" t="s">
        <v>13</v>
      </c>
      <c r="C260" s="27"/>
      <c r="D260" s="33"/>
      <c r="E260" s="27"/>
      <c r="F260" s="27"/>
    </row>
    <row r="261" spans="1:6" ht="16" thickBot="1" x14ac:dyDescent="0.4">
      <c r="A261" s="12" t="s">
        <v>279</v>
      </c>
      <c r="B261" s="12" t="s">
        <v>16</v>
      </c>
      <c r="C261" s="27"/>
      <c r="D261" s="33"/>
      <c r="E261" s="27"/>
      <c r="F261" s="27"/>
    </row>
    <row r="262" spans="1:6" ht="16" thickBot="1" x14ac:dyDescent="0.4">
      <c r="A262" s="12" t="s">
        <v>280</v>
      </c>
      <c r="B262" s="12" t="s">
        <v>16</v>
      </c>
      <c r="C262" s="27"/>
      <c r="D262" s="33"/>
      <c r="E262" s="27"/>
      <c r="F262" s="27"/>
    </row>
    <row r="263" spans="1:6" ht="16" thickBot="1" x14ac:dyDescent="0.4">
      <c r="A263" s="12" t="s">
        <v>281</v>
      </c>
      <c r="B263" s="12" t="s">
        <v>13</v>
      </c>
      <c r="C263" s="27"/>
      <c r="D263" s="33"/>
      <c r="E263" s="27"/>
      <c r="F263" s="27"/>
    </row>
    <row r="264" spans="1:6" ht="16" thickBot="1" x14ac:dyDescent="0.4">
      <c r="A264" s="12" t="s">
        <v>282</v>
      </c>
      <c r="B264" s="12" t="s">
        <v>13</v>
      </c>
      <c r="C264" s="27"/>
      <c r="D264" s="33"/>
      <c r="E264" s="27"/>
      <c r="F264" s="27"/>
    </row>
    <row r="265" spans="1:6" ht="16" thickBot="1" x14ac:dyDescent="0.4">
      <c r="A265" s="12" t="s">
        <v>283</v>
      </c>
      <c r="B265" s="12" t="s">
        <v>13</v>
      </c>
      <c r="C265" s="27"/>
      <c r="D265" s="33"/>
      <c r="E265" s="27"/>
      <c r="F265" s="27"/>
    </row>
    <row r="266" spans="1:6" ht="16" thickBot="1" x14ac:dyDescent="0.4">
      <c r="A266" s="12" t="s">
        <v>284</v>
      </c>
      <c r="B266" s="12" t="s">
        <v>13</v>
      </c>
      <c r="C266" s="27"/>
      <c r="D266" s="33"/>
      <c r="E266" s="27"/>
      <c r="F266" s="27"/>
    </row>
    <row r="267" spans="1:6" ht="16" thickBot="1" x14ac:dyDescent="0.4">
      <c r="A267" s="12" t="s">
        <v>285</v>
      </c>
      <c r="B267" s="12" t="s">
        <v>16</v>
      </c>
      <c r="C267" s="27"/>
      <c r="D267" s="33"/>
      <c r="E267" s="27"/>
      <c r="F267" s="27"/>
    </row>
    <row r="268" spans="1:6" ht="16" thickBot="1" x14ac:dyDescent="0.4">
      <c r="A268" s="12" t="s">
        <v>286</v>
      </c>
      <c r="B268" s="12" t="s">
        <v>20</v>
      </c>
      <c r="C268" s="27"/>
      <c r="D268" s="33"/>
      <c r="E268" s="27"/>
      <c r="F268" s="27"/>
    </row>
    <row r="269" spans="1:6" ht="16" thickBot="1" x14ac:dyDescent="0.4">
      <c r="A269" s="12" t="s">
        <v>287</v>
      </c>
      <c r="B269" s="12" t="s">
        <v>16</v>
      </c>
      <c r="C269" s="27"/>
      <c r="D269" s="33"/>
      <c r="E269" s="27"/>
      <c r="F269" s="27"/>
    </row>
    <row r="270" spans="1:6" ht="16" thickBot="1" x14ac:dyDescent="0.4">
      <c r="A270" s="12" t="s">
        <v>288</v>
      </c>
      <c r="B270" s="12" t="s">
        <v>16</v>
      </c>
      <c r="C270" s="27"/>
      <c r="D270" s="33"/>
      <c r="E270" s="27"/>
      <c r="F270" s="27"/>
    </row>
    <row r="271" spans="1:6" ht="16" thickBot="1" x14ac:dyDescent="0.4">
      <c r="A271" s="12" t="s">
        <v>289</v>
      </c>
      <c r="B271" s="12" t="s">
        <v>16</v>
      </c>
      <c r="C271" s="27"/>
      <c r="D271" s="33"/>
      <c r="E271" s="27"/>
      <c r="F271" s="27"/>
    </row>
    <row r="272" spans="1:6" ht="16" thickBot="1" x14ac:dyDescent="0.4">
      <c r="A272" s="12" t="s">
        <v>290</v>
      </c>
      <c r="B272" s="12" t="s">
        <v>16</v>
      </c>
      <c r="C272" s="27"/>
      <c r="D272" s="33"/>
      <c r="E272" s="27"/>
      <c r="F272" s="27"/>
    </row>
    <row r="273" spans="1:6" ht="16" thickBot="1" x14ac:dyDescent="0.4">
      <c r="A273" s="12" t="s">
        <v>291</v>
      </c>
      <c r="B273" s="12" t="s">
        <v>16</v>
      </c>
      <c r="C273" s="27"/>
      <c r="D273" s="33"/>
      <c r="E273" s="27"/>
      <c r="F273" s="27"/>
    </row>
    <row r="274" spans="1:6" ht="16" thickBot="1" x14ac:dyDescent="0.4">
      <c r="A274" s="12" t="s">
        <v>292</v>
      </c>
      <c r="B274" s="12" t="s">
        <v>16</v>
      </c>
      <c r="C274" s="27"/>
      <c r="D274" s="33"/>
      <c r="E274" s="27"/>
      <c r="F274" s="27"/>
    </row>
    <row r="275" spans="1:6" ht="16" thickBot="1" x14ac:dyDescent="0.4">
      <c r="A275" s="12" t="s">
        <v>293</v>
      </c>
      <c r="B275" s="12" t="s">
        <v>13</v>
      </c>
      <c r="C275" s="27"/>
      <c r="D275" s="33"/>
      <c r="E275" s="27"/>
      <c r="F275" s="27"/>
    </row>
    <row r="276" spans="1:6" ht="16" thickBot="1" x14ac:dyDescent="0.4">
      <c r="A276" s="12" t="s">
        <v>294</v>
      </c>
      <c r="B276" s="12" t="s">
        <v>16</v>
      </c>
      <c r="C276" s="27"/>
      <c r="D276" s="33"/>
      <c r="E276" s="27"/>
      <c r="F276" s="27"/>
    </row>
    <row r="277" spans="1:6" ht="16" thickBot="1" x14ac:dyDescent="0.4">
      <c r="A277" s="12" t="s">
        <v>295</v>
      </c>
      <c r="B277" s="12" t="s">
        <v>16</v>
      </c>
      <c r="C277" s="27"/>
      <c r="D277" s="33"/>
      <c r="E277" s="27"/>
      <c r="F277" s="27"/>
    </row>
    <row r="278" spans="1:6" ht="16" thickBot="1" x14ac:dyDescent="0.4">
      <c r="A278" s="12" t="s">
        <v>296</v>
      </c>
      <c r="B278" s="12" t="s">
        <v>13</v>
      </c>
      <c r="C278" s="27"/>
      <c r="D278" s="33"/>
      <c r="E278" s="27"/>
      <c r="F278" s="27"/>
    </row>
    <row r="279" spans="1:6" ht="16" thickBot="1" x14ac:dyDescent="0.4">
      <c r="A279" s="12" t="s">
        <v>297</v>
      </c>
      <c r="B279" s="12" t="s">
        <v>16</v>
      </c>
      <c r="C279" s="27"/>
      <c r="D279" s="33"/>
      <c r="E279" s="27"/>
      <c r="F279" s="27"/>
    </row>
    <row r="280" spans="1:6" ht="16" thickBot="1" x14ac:dyDescent="0.4">
      <c r="A280" s="12" t="s">
        <v>298</v>
      </c>
      <c r="B280" s="12" t="s">
        <v>20</v>
      </c>
      <c r="C280" s="27"/>
      <c r="D280" s="33"/>
      <c r="E280" s="27"/>
      <c r="F280" s="27"/>
    </row>
    <row r="281" spans="1:6" ht="16" thickBot="1" x14ac:dyDescent="0.4">
      <c r="A281" s="12" t="s">
        <v>299</v>
      </c>
      <c r="B281" s="12" t="s">
        <v>13</v>
      </c>
      <c r="C281" s="27"/>
      <c r="D281" s="33"/>
      <c r="E281" s="27"/>
      <c r="F281" s="27"/>
    </row>
    <row r="282" spans="1:6" ht="16" thickBot="1" x14ac:dyDescent="0.4">
      <c r="A282" s="12" t="s">
        <v>300</v>
      </c>
      <c r="B282" s="12" t="s">
        <v>16</v>
      </c>
      <c r="C282" s="27"/>
      <c r="D282" s="33"/>
      <c r="E282" s="27"/>
      <c r="F282" s="27"/>
    </row>
    <row r="283" spans="1:6" ht="16" thickBot="1" x14ac:dyDescent="0.4">
      <c r="A283" s="12" t="s">
        <v>301</v>
      </c>
      <c r="B283" s="12" t="s">
        <v>16</v>
      </c>
      <c r="C283" s="27"/>
      <c r="D283" s="33"/>
      <c r="E283" s="27"/>
      <c r="F283" s="27"/>
    </row>
    <row r="284" spans="1:6" ht="16" thickBot="1" x14ac:dyDescent="0.4">
      <c r="A284" s="12" t="s">
        <v>302</v>
      </c>
      <c r="B284" s="12" t="s">
        <v>16</v>
      </c>
      <c r="C284" s="27"/>
      <c r="D284" s="33"/>
      <c r="E284" s="27"/>
      <c r="F284" s="27"/>
    </row>
    <row r="285" spans="1:6" ht="16" thickBot="1" x14ac:dyDescent="0.4">
      <c r="A285" s="12" t="s">
        <v>303</v>
      </c>
      <c r="B285" s="12" t="s">
        <v>16</v>
      </c>
      <c r="C285" s="27"/>
      <c r="D285" s="33"/>
      <c r="E285" s="27"/>
      <c r="F285" s="27"/>
    </row>
    <row r="286" spans="1:6" ht="16" thickBot="1" x14ac:dyDescent="0.4">
      <c r="A286" s="12" t="s">
        <v>304</v>
      </c>
      <c r="B286" s="12" t="s">
        <v>20</v>
      </c>
      <c r="C286" s="27"/>
      <c r="D286" s="33"/>
      <c r="E286" s="27"/>
      <c r="F286" s="27"/>
    </row>
    <row r="287" spans="1:6" ht="16" thickBot="1" x14ac:dyDescent="0.4">
      <c r="A287" s="12" t="s">
        <v>305</v>
      </c>
      <c r="B287" s="12" t="s">
        <v>16</v>
      </c>
      <c r="C287" s="27"/>
      <c r="D287" s="33"/>
      <c r="E287" s="27"/>
      <c r="F287" s="27"/>
    </row>
    <row r="288" spans="1:6" ht="16" thickBot="1" x14ac:dyDescent="0.4">
      <c r="A288" s="12" t="s">
        <v>306</v>
      </c>
      <c r="B288" s="12" t="s">
        <v>13</v>
      </c>
      <c r="C288" s="27"/>
      <c r="D288" s="33"/>
      <c r="E288" s="27"/>
      <c r="F288" s="27"/>
    </row>
    <row r="289" spans="1:6" ht="16" thickBot="1" x14ac:dyDescent="0.4">
      <c r="A289" s="12" t="s">
        <v>307</v>
      </c>
      <c r="B289" s="12" t="s">
        <v>13</v>
      </c>
      <c r="C289" s="27"/>
      <c r="D289" s="33"/>
      <c r="E289" s="27"/>
      <c r="F289" s="27"/>
    </row>
    <row r="290" spans="1:6" ht="16" thickBot="1" x14ac:dyDescent="0.4">
      <c r="A290" s="12" t="s">
        <v>308</v>
      </c>
      <c r="B290" s="12" t="s">
        <v>16</v>
      </c>
      <c r="C290" s="27"/>
      <c r="D290" s="33"/>
      <c r="E290" s="27"/>
      <c r="F290" s="27"/>
    </row>
    <row r="291" spans="1:6" ht="16" thickBot="1" x14ac:dyDescent="0.4">
      <c r="A291" s="12" t="s">
        <v>309</v>
      </c>
      <c r="B291" s="12" t="s">
        <v>16</v>
      </c>
      <c r="C291" s="27"/>
      <c r="D291" s="33"/>
      <c r="E291" s="27"/>
      <c r="F291" s="27"/>
    </row>
    <row r="292" spans="1:6" ht="16" thickBot="1" x14ac:dyDescent="0.4">
      <c r="A292" s="12" t="s">
        <v>310</v>
      </c>
      <c r="B292" s="12" t="s">
        <v>16</v>
      </c>
      <c r="C292" s="27"/>
      <c r="D292" s="33"/>
      <c r="E292" s="27"/>
      <c r="F292" s="27"/>
    </row>
    <row r="293" spans="1:6" ht="16" thickBot="1" x14ac:dyDescent="0.4">
      <c r="A293" s="12" t="s">
        <v>311</v>
      </c>
      <c r="B293" s="12" t="s">
        <v>16</v>
      </c>
      <c r="C293" s="27"/>
      <c r="D293" s="33"/>
      <c r="E293" s="27"/>
      <c r="F293" s="27"/>
    </row>
    <row r="294" spans="1:6" ht="16" thickBot="1" x14ac:dyDescent="0.4">
      <c r="A294" s="12" t="s">
        <v>312</v>
      </c>
      <c r="B294" s="12" t="s">
        <v>16</v>
      </c>
      <c r="C294" s="27"/>
      <c r="D294" s="33"/>
      <c r="E294" s="27"/>
      <c r="F294" s="27"/>
    </row>
    <row r="295" spans="1:6" ht="16" thickBot="1" x14ac:dyDescent="0.4">
      <c r="A295" s="12" t="s">
        <v>313</v>
      </c>
      <c r="B295" s="12" t="s">
        <v>13</v>
      </c>
      <c r="C295" s="27"/>
      <c r="D295" s="33"/>
      <c r="E295" s="27"/>
      <c r="F295" s="27"/>
    </row>
    <row r="296" spans="1:6" ht="16" thickBot="1" x14ac:dyDescent="0.4">
      <c r="A296" s="12" t="s">
        <v>314</v>
      </c>
      <c r="B296" s="12" t="s">
        <v>20</v>
      </c>
      <c r="C296" s="27"/>
      <c r="D296" s="33"/>
      <c r="E296" s="27"/>
      <c r="F296" s="27"/>
    </row>
    <row r="297" spans="1:6" ht="16" thickBot="1" x14ac:dyDescent="0.4">
      <c r="A297" s="12" t="s">
        <v>315</v>
      </c>
      <c r="B297" s="12" t="s">
        <v>20</v>
      </c>
      <c r="C297" s="27"/>
      <c r="D297" s="33"/>
      <c r="E297" s="27"/>
      <c r="F297" s="27"/>
    </row>
    <row r="298" spans="1:6" ht="16" thickBot="1" x14ac:dyDescent="0.4">
      <c r="A298" s="12" t="s">
        <v>316</v>
      </c>
      <c r="B298" s="12" t="s">
        <v>16</v>
      </c>
      <c r="C298" s="27"/>
      <c r="D298" s="33"/>
      <c r="E298" s="27"/>
      <c r="F298" s="27"/>
    </row>
    <row r="299" spans="1:6" ht="16" thickBot="1" x14ac:dyDescent="0.4">
      <c r="A299" s="12" t="s">
        <v>317</v>
      </c>
      <c r="B299" s="12" t="s">
        <v>16</v>
      </c>
      <c r="C299" s="27"/>
      <c r="D299" s="33"/>
      <c r="E299" s="27"/>
      <c r="F299" s="27"/>
    </row>
    <row r="300" spans="1:6" ht="16" thickBot="1" x14ac:dyDescent="0.4">
      <c r="A300" s="12" t="s">
        <v>318</v>
      </c>
      <c r="B300" s="12" t="s">
        <v>16</v>
      </c>
      <c r="C300" s="27"/>
      <c r="D300" s="33"/>
      <c r="E300" s="27"/>
      <c r="F300" s="27"/>
    </row>
    <row r="301" spans="1:6" ht="16" thickBot="1" x14ac:dyDescent="0.4">
      <c r="A301" s="12" t="s">
        <v>319</v>
      </c>
      <c r="B301" s="12" t="s">
        <v>13</v>
      </c>
      <c r="C301" s="27"/>
      <c r="D301" s="33"/>
      <c r="E301" s="27"/>
      <c r="F301" s="27"/>
    </row>
    <row r="302" spans="1:6" ht="16" thickBot="1" x14ac:dyDescent="0.4">
      <c r="A302" s="12" t="s">
        <v>320</v>
      </c>
      <c r="B302" s="12" t="s">
        <v>13</v>
      </c>
      <c r="C302" s="27"/>
      <c r="D302" s="33"/>
      <c r="E302" s="27"/>
      <c r="F302" s="27"/>
    </row>
    <row r="303" spans="1:6" ht="16" thickBot="1" x14ac:dyDescent="0.4">
      <c r="A303" s="12" t="s">
        <v>321</v>
      </c>
      <c r="B303" s="12" t="s">
        <v>13</v>
      </c>
      <c r="C303" s="27"/>
      <c r="D303" s="33"/>
      <c r="E303" s="27"/>
      <c r="F303" s="27"/>
    </row>
    <row r="304" spans="1:6" ht="16" thickBot="1" x14ac:dyDescent="0.4">
      <c r="A304" s="12" t="s">
        <v>322</v>
      </c>
      <c r="B304" s="12" t="s">
        <v>13</v>
      </c>
      <c r="C304" s="27"/>
      <c r="D304" s="33"/>
      <c r="E304" s="27"/>
      <c r="F304" s="27"/>
    </row>
    <row r="305" spans="1:6" ht="16" thickBot="1" x14ac:dyDescent="0.4">
      <c r="A305" s="12" t="s">
        <v>323</v>
      </c>
      <c r="B305" s="12" t="s">
        <v>13</v>
      </c>
      <c r="C305" s="27"/>
      <c r="D305" s="33"/>
      <c r="E305" s="27"/>
      <c r="F305" s="27"/>
    </row>
    <row r="306" spans="1:6" ht="16" thickBot="1" x14ac:dyDescent="0.4">
      <c r="A306" s="12" t="s">
        <v>324</v>
      </c>
      <c r="B306" s="12" t="s">
        <v>16</v>
      </c>
      <c r="C306" s="27"/>
      <c r="D306" s="33"/>
      <c r="E306" s="27"/>
      <c r="F306" s="27"/>
    </row>
    <row r="307" spans="1:6" ht="16" thickBot="1" x14ac:dyDescent="0.4">
      <c r="A307" s="12" t="s">
        <v>325</v>
      </c>
      <c r="B307" s="12" t="s">
        <v>16</v>
      </c>
      <c r="C307" s="27"/>
      <c r="D307" s="33"/>
      <c r="E307" s="27"/>
      <c r="F307" s="27"/>
    </row>
    <row r="308" spans="1:6" ht="16" thickBot="1" x14ac:dyDescent="0.4">
      <c r="A308" s="12" t="s">
        <v>326</v>
      </c>
      <c r="B308" s="12" t="s">
        <v>16</v>
      </c>
      <c r="C308" s="27"/>
      <c r="D308" s="33"/>
      <c r="E308" s="27"/>
      <c r="F308" s="27"/>
    </row>
    <row r="309" spans="1:6" ht="16" thickBot="1" x14ac:dyDescent="0.4">
      <c r="A309" s="12" t="s">
        <v>327</v>
      </c>
      <c r="B309" s="12" t="s">
        <v>16</v>
      </c>
      <c r="C309" s="27"/>
      <c r="D309" s="33"/>
      <c r="E309" s="27"/>
      <c r="F309" s="27"/>
    </row>
    <row r="310" spans="1:6" ht="16" thickBot="1" x14ac:dyDescent="0.4">
      <c r="A310" s="12" t="s">
        <v>328</v>
      </c>
      <c r="B310" s="12" t="s">
        <v>16</v>
      </c>
      <c r="C310" s="27"/>
      <c r="D310" s="33"/>
      <c r="E310" s="27"/>
      <c r="F310" s="27"/>
    </row>
    <row r="311" spans="1:6" ht="16" thickBot="1" x14ac:dyDescent="0.4">
      <c r="A311" s="12" t="s">
        <v>329</v>
      </c>
      <c r="B311" s="12" t="s">
        <v>16</v>
      </c>
      <c r="C311" s="27"/>
      <c r="D311" s="33"/>
      <c r="E311" s="27"/>
      <c r="F311" s="27"/>
    </row>
    <row r="312" spans="1:6" ht="16" thickBot="1" x14ac:dyDescent="0.4">
      <c r="A312" s="12" t="s">
        <v>330</v>
      </c>
      <c r="B312" s="12" t="s">
        <v>13</v>
      </c>
      <c r="C312" s="27"/>
      <c r="D312" s="33"/>
      <c r="E312" s="27"/>
      <c r="F312" s="27"/>
    </row>
    <row r="313" spans="1:6" ht="16" thickBot="1" x14ac:dyDescent="0.4">
      <c r="A313" s="12" t="s">
        <v>331</v>
      </c>
      <c r="B313" s="12" t="s">
        <v>20</v>
      </c>
      <c r="C313" s="27"/>
      <c r="D313" s="33"/>
      <c r="E313" s="27"/>
      <c r="F313" s="27"/>
    </row>
    <row r="314" spans="1:6" ht="16" thickBot="1" x14ac:dyDescent="0.4">
      <c r="A314" s="12" t="s">
        <v>332</v>
      </c>
      <c r="B314" s="12" t="s">
        <v>13</v>
      </c>
      <c r="C314" s="27"/>
      <c r="D314" s="33"/>
      <c r="E314" s="27"/>
      <c r="F314" s="27"/>
    </row>
    <row r="315" spans="1:6" ht="16" thickBot="1" x14ac:dyDescent="0.4">
      <c r="A315" s="12" t="s">
        <v>333</v>
      </c>
      <c r="B315" s="12" t="s">
        <v>16</v>
      </c>
      <c r="C315" s="27"/>
      <c r="D315" s="33"/>
      <c r="E315" s="27"/>
      <c r="F315" s="27"/>
    </row>
    <row r="316" spans="1:6" ht="16" thickBot="1" x14ac:dyDescent="0.4">
      <c r="A316" s="12" t="s">
        <v>334</v>
      </c>
      <c r="B316" s="12" t="s">
        <v>16</v>
      </c>
      <c r="C316" s="27"/>
      <c r="D316" s="33"/>
      <c r="E316" s="27"/>
      <c r="F316" s="27"/>
    </row>
    <row r="317" spans="1:6" ht="16" thickBot="1" x14ac:dyDescent="0.4">
      <c r="A317" s="12" t="s">
        <v>335</v>
      </c>
      <c r="B317" s="12" t="s">
        <v>16</v>
      </c>
      <c r="C317" s="27"/>
      <c r="D317" s="33"/>
      <c r="E317" s="27"/>
      <c r="F317" s="27"/>
    </row>
    <row r="318" spans="1:6" ht="16" thickBot="1" x14ac:dyDescent="0.4">
      <c r="A318" s="12" t="s">
        <v>336</v>
      </c>
      <c r="B318" s="12" t="s">
        <v>20</v>
      </c>
      <c r="C318" s="27"/>
      <c r="D318" s="33"/>
      <c r="E318" s="27"/>
      <c r="F318" s="27"/>
    </row>
    <row r="319" spans="1:6" ht="16" thickBot="1" x14ac:dyDescent="0.4">
      <c r="A319" s="12" t="s">
        <v>337</v>
      </c>
      <c r="B319" s="12" t="s">
        <v>16</v>
      </c>
      <c r="C319" s="27"/>
      <c r="D319" s="33"/>
      <c r="E319" s="27"/>
      <c r="F319" s="27"/>
    </row>
    <row r="320" spans="1:6" ht="16" thickBot="1" x14ac:dyDescent="0.4">
      <c r="A320" s="12" t="s">
        <v>338</v>
      </c>
      <c r="B320" s="12" t="s">
        <v>4</v>
      </c>
      <c r="C320" s="27"/>
      <c r="D320" s="33"/>
      <c r="E320" s="27"/>
      <c r="F320" s="27"/>
    </row>
    <row r="321" spans="1:6" ht="16" thickBot="1" x14ac:dyDescent="0.4">
      <c r="A321" s="12" t="s">
        <v>339</v>
      </c>
      <c r="B321" s="12" t="s">
        <v>4</v>
      </c>
      <c r="C321" s="27"/>
      <c r="D321" s="33"/>
      <c r="E321" s="27"/>
      <c r="F321" s="27"/>
    </row>
    <row r="322" spans="1:6" ht="16" thickBot="1" x14ac:dyDescent="0.4">
      <c r="A322" s="12" t="s">
        <v>340</v>
      </c>
      <c r="B322" s="12" t="s">
        <v>20</v>
      </c>
      <c r="C322" s="27"/>
      <c r="D322" s="33"/>
      <c r="E322" s="27"/>
      <c r="F322" s="27"/>
    </row>
    <row r="323" spans="1:6" ht="16" thickBot="1" x14ac:dyDescent="0.4">
      <c r="A323" s="12" t="s">
        <v>341</v>
      </c>
      <c r="B323" s="12" t="s">
        <v>4</v>
      </c>
      <c r="C323" s="27"/>
      <c r="D323" s="33"/>
      <c r="E323" s="27"/>
      <c r="F323" s="27"/>
    </row>
    <row r="324" spans="1:6" ht="16" thickBot="1" x14ac:dyDescent="0.4">
      <c r="A324" s="12" t="s">
        <v>342</v>
      </c>
      <c r="B324" s="12" t="s">
        <v>16</v>
      </c>
      <c r="C324" s="27"/>
      <c r="D324" s="33"/>
      <c r="E324" s="27"/>
      <c r="F324" s="27"/>
    </row>
    <row r="325" spans="1:6" ht="16" thickBot="1" x14ac:dyDescent="0.4">
      <c r="A325" s="12" t="s">
        <v>343</v>
      </c>
      <c r="B325" s="12" t="s">
        <v>4</v>
      </c>
      <c r="C325" s="27"/>
      <c r="D325" s="33"/>
      <c r="E325" s="27"/>
      <c r="F325" s="27"/>
    </row>
    <row r="326" spans="1:6" ht="16" thickBot="1" x14ac:dyDescent="0.4">
      <c r="A326" s="12" t="s">
        <v>344</v>
      </c>
      <c r="B326" s="12" t="s">
        <v>16</v>
      </c>
      <c r="C326" s="27"/>
      <c r="D326" s="33"/>
      <c r="E326" s="27"/>
      <c r="F326" s="27"/>
    </row>
    <row r="327" spans="1:6" ht="16" thickBot="1" x14ac:dyDescent="0.4">
      <c r="A327" s="12" t="s">
        <v>345</v>
      </c>
      <c r="B327" s="12" t="s">
        <v>20</v>
      </c>
      <c r="C327" s="27"/>
      <c r="D327" s="33"/>
      <c r="E327" s="27"/>
      <c r="F327" s="27"/>
    </row>
    <row r="328" spans="1:6" ht="16" thickBot="1" x14ac:dyDescent="0.4">
      <c r="A328" s="12" t="s">
        <v>346</v>
      </c>
      <c r="B328" s="12" t="s">
        <v>16</v>
      </c>
      <c r="C328" s="27"/>
      <c r="D328" s="33"/>
      <c r="E328" s="27"/>
      <c r="F328" s="27"/>
    </row>
    <row r="329" spans="1:6" ht="16" thickBot="1" x14ac:dyDescent="0.4">
      <c r="A329" s="12" t="s">
        <v>347</v>
      </c>
      <c r="B329" s="12" t="s">
        <v>13</v>
      </c>
      <c r="C329" s="27"/>
      <c r="D329" s="33"/>
      <c r="E329" s="27"/>
      <c r="F329" s="27"/>
    </row>
    <row r="330" spans="1:6" ht="16" thickBot="1" x14ac:dyDescent="0.4">
      <c r="A330" s="12" t="s">
        <v>348</v>
      </c>
      <c r="B330" s="12" t="s">
        <v>13</v>
      </c>
      <c r="C330" s="27"/>
      <c r="D330" s="33"/>
      <c r="E330" s="27"/>
      <c r="F330" s="27"/>
    </row>
    <row r="331" spans="1:6" ht="16" thickBot="1" x14ac:dyDescent="0.4">
      <c r="A331" s="12" t="s">
        <v>349</v>
      </c>
      <c r="B331" s="12" t="s">
        <v>16</v>
      </c>
      <c r="C331" s="27"/>
      <c r="D331" s="33"/>
      <c r="E331" s="27"/>
      <c r="F331" s="27"/>
    </row>
    <row r="332" spans="1:6" ht="16" thickBot="1" x14ac:dyDescent="0.4">
      <c r="A332" s="12" t="s">
        <v>350</v>
      </c>
      <c r="B332" s="12" t="s">
        <v>16</v>
      </c>
      <c r="C332" s="27"/>
      <c r="D332" s="33"/>
      <c r="E332" s="27"/>
      <c r="F332" s="27"/>
    </row>
    <row r="333" spans="1:6" ht="16" thickBot="1" x14ac:dyDescent="0.4">
      <c r="A333" s="12" t="s">
        <v>351</v>
      </c>
      <c r="B333" s="12" t="s">
        <v>16</v>
      </c>
      <c r="C333" s="27"/>
      <c r="D333" s="33"/>
      <c r="E333" s="27"/>
      <c r="F333" s="27"/>
    </row>
    <row r="334" spans="1:6" ht="16" thickBot="1" x14ac:dyDescent="0.4">
      <c r="A334" s="12" t="s">
        <v>352</v>
      </c>
      <c r="B334" s="12" t="s">
        <v>16</v>
      </c>
      <c r="C334" s="27"/>
      <c r="D334" s="33"/>
      <c r="E334" s="27"/>
      <c r="F334" s="27"/>
    </row>
    <row r="335" spans="1:6" ht="16" thickBot="1" x14ac:dyDescent="0.4">
      <c r="A335" s="12" t="s">
        <v>353</v>
      </c>
      <c r="B335" s="12" t="s">
        <v>13</v>
      </c>
      <c r="C335" s="27"/>
      <c r="D335" s="33"/>
      <c r="E335" s="27"/>
      <c r="F335" s="27"/>
    </row>
    <row r="336" spans="1:6" ht="16" thickBot="1" x14ac:dyDescent="0.4">
      <c r="A336" s="12" t="s">
        <v>354</v>
      </c>
      <c r="B336" s="12" t="s">
        <v>13</v>
      </c>
      <c r="C336" s="27"/>
      <c r="D336" s="33"/>
      <c r="E336" s="27"/>
      <c r="F336" s="27"/>
    </row>
    <row r="337" spans="1:6" ht="16" thickBot="1" x14ac:dyDescent="0.4">
      <c r="A337" s="12" t="s">
        <v>355</v>
      </c>
      <c r="B337" s="12" t="s">
        <v>13</v>
      </c>
      <c r="C337" s="27"/>
      <c r="D337" s="33"/>
      <c r="E337" s="27"/>
      <c r="F337" s="27"/>
    </row>
    <row r="338" spans="1:6" ht="16" thickBot="1" x14ac:dyDescent="0.4">
      <c r="A338" s="12" t="s">
        <v>356</v>
      </c>
      <c r="B338" s="12" t="s">
        <v>13</v>
      </c>
      <c r="C338" s="27"/>
      <c r="D338" s="33"/>
      <c r="E338" s="27"/>
      <c r="F338" s="27"/>
    </row>
    <row r="339" spans="1:6" ht="16" thickBot="1" x14ac:dyDescent="0.4">
      <c r="A339" s="12" t="s">
        <v>357</v>
      </c>
      <c r="B339" s="12" t="s">
        <v>13</v>
      </c>
      <c r="C339" s="27"/>
      <c r="D339" s="33"/>
      <c r="E339" s="27"/>
      <c r="F339" s="27"/>
    </row>
    <row r="340" spans="1:6" ht="16" thickBot="1" x14ac:dyDescent="0.4">
      <c r="A340" s="12" t="s">
        <v>358</v>
      </c>
      <c r="B340" s="12" t="s">
        <v>16</v>
      </c>
      <c r="C340" s="27"/>
      <c r="D340" s="33"/>
      <c r="E340" s="27"/>
      <c r="F340" s="27"/>
    </row>
    <row r="341" spans="1:6" ht="16" thickBot="1" x14ac:dyDescent="0.4">
      <c r="A341" s="12" t="s">
        <v>359</v>
      </c>
      <c r="B341" s="12" t="s">
        <v>13</v>
      </c>
      <c r="C341" s="27"/>
      <c r="D341" s="33"/>
      <c r="E341" s="27"/>
      <c r="F341" s="27"/>
    </row>
    <row r="342" spans="1:6" ht="16" thickBot="1" x14ac:dyDescent="0.4">
      <c r="A342" s="12" t="s">
        <v>360</v>
      </c>
      <c r="B342" s="12" t="s">
        <v>20</v>
      </c>
      <c r="C342" s="27"/>
      <c r="D342" s="33"/>
      <c r="E342" s="27"/>
      <c r="F342" s="27"/>
    </row>
    <row r="343" spans="1:6" ht="16" thickBot="1" x14ac:dyDescent="0.4">
      <c r="A343" s="12" t="s">
        <v>361</v>
      </c>
      <c r="B343" s="12" t="s">
        <v>16</v>
      </c>
      <c r="C343" s="27"/>
      <c r="D343" s="33"/>
      <c r="E343" s="27"/>
      <c r="F343" s="27"/>
    </row>
    <row r="344" spans="1:6" ht="16" thickBot="1" x14ac:dyDescent="0.4">
      <c r="A344" s="12" t="s">
        <v>362</v>
      </c>
      <c r="B344" s="12" t="s">
        <v>13</v>
      </c>
      <c r="C344" s="27"/>
      <c r="D344" s="33"/>
      <c r="E344" s="27"/>
      <c r="F344" s="27"/>
    </row>
    <row r="345" spans="1:6" ht="16" thickBot="1" x14ac:dyDescent="0.4">
      <c r="A345" s="12" t="s">
        <v>363</v>
      </c>
      <c r="B345" s="12" t="s">
        <v>16</v>
      </c>
      <c r="C345" s="27"/>
      <c r="D345" s="33"/>
      <c r="E345" s="27"/>
      <c r="F345" s="27"/>
    </row>
    <row r="346" spans="1:6" ht="16" thickBot="1" x14ac:dyDescent="0.4">
      <c r="A346" s="12" t="s">
        <v>364</v>
      </c>
      <c r="B346" s="12" t="s">
        <v>4</v>
      </c>
      <c r="C346" s="27"/>
      <c r="D346" s="33"/>
      <c r="E346" s="27"/>
      <c r="F346" s="27"/>
    </row>
    <row r="347" spans="1:6" ht="16" thickBot="1" x14ac:dyDescent="0.4">
      <c r="A347" s="12" t="s">
        <v>365</v>
      </c>
      <c r="B347" s="12" t="s">
        <v>16</v>
      </c>
      <c r="C347" s="27"/>
      <c r="D347" s="33"/>
      <c r="E347" s="27"/>
      <c r="F347" s="27"/>
    </row>
    <row r="348" spans="1:6" ht="16" thickBot="1" x14ac:dyDescent="0.4">
      <c r="A348" s="12" t="s">
        <v>366</v>
      </c>
      <c r="B348" s="12" t="s">
        <v>16</v>
      </c>
      <c r="C348" s="27"/>
      <c r="D348" s="33"/>
      <c r="E348" s="27"/>
      <c r="F348" s="27"/>
    </row>
    <row r="349" spans="1:6" ht="16" thickBot="1" x14ac:dyDescent="0.4">
      <c r="A349" s="12" t="s">
        <v>367</v>
      </c>
      <c r="B349" s="12" t="s">
        <v>16</v>
      </c>
      <c r="C349" s="27"/>
      <c r="D349" s="33"/>
      <c r="E349" s="27"/>
      <c r="F349" s="27"/>
    </row>
    <row r="350" spans="1:6" ht="16" thickBot="1" x14ac:dyDescent="0.4">
      <c r="A350" s="12" t="s">
        <v>368</v>
      </c>
      <c r="B350" s="12" t="s">
        <v>16</v>
      </c>
      <c r="C350" s="27"/>
      <c r="D350" s="33"/>
      <c r="E350" s="27"/>
      <c r="F350" s="27"/>
    </row>
    <row r="351" spans="1:6" ht="16" thickBot="1" x14ac:dyDescent="0.4">
      <c r="A351" s="12" t="s">
        <v>369</v>
      </c>
      <c r="B351" s="12" t="s">
        <v>16</v>
      </c>
      <c r="C351" s="27"/>
      <c r="D351" s="33"/>
      <c r="E351" s="27"/>
      <c r="F351" s="27"/>
    </row>
    <row r="352" spans="1:6" ht="16" thickBot="1" x14ac:dyDescent="0.4">
      <c r="A352" s="12" t="s">
        <v>370</v>
      </c>
      <c r="B352" s="12" t="s">
        <v>4</v>
      </c>
      <c r="C352" s="27"/>
      <c r="D352" s="33"/>
      <c r="E352" s="27"/>
      <c r="F352" s="27"/>
    </row>
    <row r="353" spans="1:6" ht="16" thickBot="1" x14ac:dyDescent="0.4">
      <c r="A353" s="12" t="s">
        <v>371</v>
      </c>
      <c r="B353" s="12" t="s">
        <v>16</v>
      </c>
      <c r="C353" s="27"/>
      <c r="D353" s="33"/>
      <c r="E353" s="27"/>
      <c r="F353" s="27"/>
    </row>
    <row r="354" spans="1:6" ht="16" thickBot="1" x14ac:dyDescent="0.4">
      <c r="A354" s="12" t="s">
        <v>372</v>
      </c>
      <c r="B354" s="12" t="s">
        <v>13</v>
      </c>
      <c r="C354" s="27"/>
      <c r="D354" s="33"/>
      <c r="E354" s="27"/>
      <c r="F354" s="27"/>
    </row>
    <row r="355" spans="1:6" ht="16" thickBot="1" x14ac:dyDescent="0.4">
      <c r="A355" s="12" t="s">
        <v>373</v>
      </c>
      <c r="B355" s="12" t="s">
        <v>13</v>
      </c>
      <c r="C355" s="27"/>
      <c r="D355" s="33"/>
      <c r="E355" s="27"/>
      <c r="F355" s="27"/>
    </row>
    <row r="356" spans="1:6" ht="16" thickBot="1" x14ac:dyDescent="0.4">
      <c r="A356" s="12" t="s">
        <v>374</v>
      </c>
      <c r="B356" s="12" t="s">
        <v>4</v>
      </c>
      <c r="C356" s="27"/>
      <c r="D356" s="33"/>
      <c r="E356" s="27"/>
      <c r="F356" s="27"/>
    </row>
    <row r="357" spans="1:6" ht="16" thickBot="1" x14ac:dyDescent="0.4">
      <c r="A357" s="12" t="s">
        <v>375</v>
      </c>
      <c r="B357" s="12" t="s">
        <v>16</v>
      </c>
      <c r="C357" s="27"/>
      <c r="D357" s="33"/>
      <c r="E357" s="27"/>
      <c r="F357" s="27"/>
    </row>
    <row r="358" spans="1:6" ht="16" thickBot="1" x14ac:dyDescent="0.4">
      <c r="A358" s="12" t="s">
        <v>376</v>
      </c>
      <c r="B358" s="12" t="s">
        <v>16</v>
      </c>
      <c r="C358" s="27"/>
      <c r="D358" s="33"/>
      <c r="E358" s="27"/>
      <c r="F358" s="27"/>
    </row>
    <row r="359" spans="1:6" ht="16" thickBot="1" x14ac:dyDescent="0.4">
      <c r="A359" s="12" t="s">
        <v>377</v>
      </c>
      <c r="B359" s="12" t="s">
        <v>16</v>
      </c>
      <c r="C359" s="27"/>
      <c r="D359" s="33"/>
      <c r="E359" s="27"/>
      <c r="F359" s="27"/>
    </row>
    <row r="360" spans="1:6" ht="16" thickBot="1" x14ac:dyDescent="0.4">
      <c r="A360" s="12" t="s">
        <v>378</v>
      </c>
      <c r="B360" s="12" t="s">
        <v>16</v>
      </c>
      <c r="C360" s="27"/>
      <c r="D360" s="33"/>
      <c r="E360" s="27"/>
      <c r="F360" s="27"/>
    </row>
    <row r="361" spans="1:6" ht="16" thickBot="1" x14ac:dyDescent="0.4">
      <c r="A361" s="12" t="s">
        <v>379</v>
      </c>
      <c r="B361" s="12" t="s">
        <v>20</v>
      </c>
      <c r="C361" s="27"/>
      <c r="D361" s="33"/>
      <c r="E361" s="27"/>
      <c r="F361" s="27"/>
    </row>
    <row r="362" spans="1:6" ht="16" thickBot="1" x14ac:dyDescent="0.4">
      <c r="A362" s="12" t="s">
        <v>380</v>
      </c>
      <c r="B362" s="12" t="s">
        <v>16</v>
      </c>
      <c r="C362" s="27"/>
      <c r="D362" s="33"/>
      <c r="E362" s="27"/>
      <c r="F362" s="27"/>
    </row>
    <row r="363" spans="1:6" ht="16" thickBot="1" x14ac:dyDescent="0.4">
      <c r="A363" s="12" t="s">
        <v>381</v>
      </c>
      <c r="B363" s="12" t="s">
        <v>13</v>
      </c>
      <c r="C363" s="27"/>
      <c r="D363" s="33"/>
      <c r="E363" s="27"/>
      <c r="F363" s="27"/>
    </row>
    <row r="364" spans="1:6" ht="16" thickBot="1" x14ac:dyDescent="0.4">
      <c r="A364" s="12" t="s">
        <v>382</v>
      </c>
      <c r="B364" s="12" t="s">
        <v>16</v>
      </c>
      <c r="C364" s="27"/>
      <c r="D364" s="33"/>
      <c r="E364" s="27"/>
      <c r="F364" s="27"/>
    </row>
    <row r="365" spans="1:6" ht="16" thickBot="1" x14ac:dyDescent="0.4">
      <c r="A365" s="12" t="s">
        <v>383</v>
      </c>
      <c r="B365" s="12" t="s">
        <v>16</v>
      </c>
      <c r="C365" s="27"/>
      <c r="D365" s="33"/>
      <c r="E365" s="27"/>
      <c r="F365" s="27"/>
    </row>
    <row r="366" spans="1:6" ht="16" thickBot="1" x14ac:dyDescent="0.4">
      <c r="A366" s="12" t="s">
        <v>384</v>
      </c>
      <c r="B366" s="12" t="s">
        <v>16</v>
      </c>
      <c r="C366" s="27"/>
      <c r="D366" s="33"/>
      <c r="E366" s="27"/>
      <c r="F366" s="27"/>
    </row>
    <row r="367" spans="1:6" ht="16" thickBot="1" x14ac:dyDescent="0.4">
      <c r="A367" s="12" t="s">
        <v>385</v>
      </c>
      <c r="B367" s="12" t="s">
        <v>16</v>
      </c>
      <c r="C367" s="27"/>
      <c r="D367" s="33"/>
      <c r="E367" s="27"/>
      <c r="F367" s="27"/>
    </row>
    <row r="368" spans="1:6" ht="16" thickBot="1" x14ac:dyDescent="0.4">
      <c r="A368" s="12" t="s">
        <v>386</v>
      </c>
      <c r="B368" s="12" t="s">
        <v>13</v>
      </c>
      <c r="C368" s="27"/>
      <c r="D368" s="33"/>
      <c r="E368" s="27"/>
      <c r="F368" s="27"/>
    </row>
    <row r="369" spans="1:6" ht="16" thickBot="1" x14ac:dyDescent="0.4">
      <c r="A369" s="12" t="s">
        <v>387</v>
      </c>
      <c r="B369" s="12" t="s">
        <v>16</v>
      </c>
      <c r="C369" s="27"/>
      <c r="D369" s="33"/>
      <c r="E369" s="27"/>
      <c r="F369" s="27"/>
    </row>
    <row r="370" spans="1:6" ht="16" thickBot="1" x14ac:dyDescent="0.4">
      <c r="A370" s="12" t="s">
        <v>388</v>
      </c>
      <c r="B370" s="12" t="s">
        <v>16</v>
      </c>
      <c r="C370" s="27"/>
      <c r="D370" s="33"/>
      <c r="E370" s="27"/>
      <c r="F370" s="27"/>
    </row>
    <row r="371" spans="1:6" ht="16" thickBot="1" x14ac:dyDescent="0.4">
      <c r="A371" s="12" t="s">
        <v>389</v>
      </c>
      <c r="B371" s="12" t="s">
        <v>16</v>
      </c>
      <c r="C371" s="27"/>
      <c r="D371" s="33"/>
      <c r="E371" s="27"/>
      <c r="F371" s="27"/>
    </row>
    <row r="372" spans="1:6" ht="16" thickBot="1" x14ac:dyDescent="0.4">
      <c r="A372" s="12" t="s">
        <v>390</v>
      </c>
      <c r="B372" s="12" t="s">
        <v>13</v>
      </c>
      <c r="C372" s="27"/>
      <c r="D372" s="33"/>
      <c r="E372" s="27"/>
      <c r="F372" s="27"/>
    </row>
    <row r="373" spans="1:6" ht="16" thickBot="1" x14ac:dyDescent="0.4">
      <c r="A373" s="12" t="s">
        <v>391</v>
      </c>
      <c r="B373" s="12" t="s">
        <v>16</v>
      </c>
      <c r="C373" s="27"/>
      <c r="D373" s="33"/>
      <c r="E373" s="27"/>
      <c r="F373" s="27"/>
    </row>
    <row r="374" spans="1:6" ht="16" thickBot="1" x14ac:dyDescent="0.4">
      <c r="A374" s="12" t="s">
        <v>392</v>
      </c>
      <c r="B374" s="12" t="s">
        <v>16</v>
      </c>
      <c r="C374" s="27"/>
      <c r="D374" s="33"/>
      <c r="E374" s="27"/>
      <c r="F374" s="27"/>
    </row>
    <row r="375" spans="1:6" ht="16" thickBot="1" x14ac:dyDescent="0.4">
      <c r="A375" s="12" t="s">
        <v>393</v>
      </c>
      <c r="B375" s="12" t="s">
        <v>16</v>
      </c>
      <c r="C375" s="27"/>
      <c r="D375" s="33"/>
      <c r="E375" s="27"/>
      <c r="F375" s="27"/>
    </row>
    <row r="376" spans="1:6" ht="16" thickBot="1" x14ac:dyDescent="0.4">
      <c r="A376" s="12" t="s">
        <v>394</v>
      </c>
      <c r="B376" s="12" t="s">
        <v>16</v>
      </c>
      <c r="C376" s="27"/>
      <c r="D376" s="33"/>
      <c r="E376" s="27"/>
      <c r="F376" s="27"/>
    </row>
    <row r="377" spans="1:6" ht="16" thickBot="1" x14ac:dyDescent="0.4">
      <c r="A377" s="12" t="s">
        <v>395</v>
      </c>
      <c r="B377" s="12" t="s">
        <v>16</v>
      </c>
      <c r="C377" s="27"/>
      <c r="D377" s="33"/>
      <c r="E377" s="27"/>
      <c r="F377" s="27"/>
    </row>
    <row r="378" spans="1:6" ht="16" thickBot="1" x14ac:dyDescent="0.4">
      <c r="A378" s="12" t="s">
        <v>396</v>
      </c>
      <c r="B378" s="12" t="s">
        <v>16</v>
      </c>
      <c r="C378" s="27"/>
      <c r="D378" s="33"/>
      <c r="E378" s="27"/>
      <c r="F378" s="27"/>
    </row>
    <row r="379" spans="1:6" ht="16" thickBot="1" x14ac:dyDescent="0.4">
      <c r="A379" s="12" t="s">
        <v>397</v>
      </c>
      <c r="B379" s="12" t="s">
        <v>16</v>
      </c>
      <c r="C379" s="27"/>
      <c r="D379" s="33"/>
      <c r="E379" s="27"/>
      <c r="F379" s="27"/>
    </row>
    <row r="380" spans="1:6" ht="16" thickBot="1" x14ac:dyDescent="0.4">
      <c r="A380" s="12" t="s">
        <v>398</v>
      </c>
      <c r="B380" s="12" t="s">
        <v>20</v>
      </c>
      <c r="C380" s="27"/>
      <c r="D380" s="33"/>
      <c r="E380" s="27"/>
      <c r="F380" s="27"/>
    </row>
    <row r="381" spans="1:6" ht="16" thickBot="1" x14ac:dyDescent="0.4">
      <c r="A381" s="12" t="s">
        <v>399</v>
      </c>
      <c r="B381" s="12" t="s">
        <v>20</v>
      </c>
      <c r="C381" s="27"/>
      <c r="D381" s="33"/>
      <c r="E381" s="27"/>
      <c r="F381" s="27"/>
    </row>
    <row r="382" spans="1:6" ht="16" thickBot="1" x14ac:dyDescent="0.4">
      <c r="A382" s="12" t="s">
        <v>400</v>
      </c>
      <c r="B382" s="12" t="s">
        <v>20</v>
      </c>
      <c r="C382" s="27"/>
      <c r="D382" s="33"/>
      <c r="E382" s="27"/>
      <c r="F382" s="27"/>
    </row>
    <row r="383" spans="1:6" ht="16" thickBot="1" x14ac:dyDescent="0.4">
      <c r="A383" s="12" t="s">
        <v>401</v>
      </c>
      <c r="B383" s="12" t="s">
        <v>20</v>
      </c>
      <c r="C383" s="27"/>
      <c r="D383" s="33"/>
      <c r="E383" s="27"/>
      <c r="F383" s="27"/>
    </row>
    <row r="384" spans="1:6" ht="16" thickBot="1" x14ac:dyDescent="0.4">
      <c r="A384" s="12" t="s">
        <v>402</v>
      </c>
      <c r="B384" s="12" t="s">
        <v>20</v>
      </c>
      <c r="C384" s="27"/>
      <c r="D384" s="33"/>
      <c r="E384" s="27"/>
      <c r="F384" s="27"/>
    </row>
    <row r="385" spans="1:6" ht="16" thickBot="1" x14ac:dyDescent="0.4">
      <c r="A385" s="12" t="s">
        <v>403</v>
      </c>
      <c r="B385" s="12" t="s">
        <v>13</v>
      </c>
      <c r="C385" s="27"/>
      <c r="D385" s="33"/>
      <c r="E385" s="27"/>
      <c r="F385" s="27"/>
    </row>
    <row r="386" spans="1:6" ht="16" thickBot="1" x14ac:dyDescent="0.4">
      <c r="A386" s="12" t="s">
        <v>404</v>
      </c>
      <c r="B386" s="12" t="s">
        <v>16</v>
      </c>
      <c r="C386" s="27"/>
      <c r="D386" s="33"/>
      <c r="E386" s="27"/>
      <c r="F386" s="27"/>
    </row>
    <row r="387" spans="1:6" ht="16" thickBot="1" x14ac:dyDescent="0.4">
      <c r="A387" s="12" t="s">
        <v>405</v>
      </c>
      <c r="B387" s="12" t="s">
        <v>16</v>
      </c>
      <c r="C387" s="27"/>
      <c r="D387" s="33"/>
      <c r="E387" s="27"/>
      <c r="F387" s="27"/>
    </row>
    <row r="388" spans="1:6" ht="16" thickBot="1" x14ac:dyDescent="0.4">
      <c r="A388" s="12" t="s">
        <v>406</v>
      </c>
      <c r="B388" s="12" t="s">
        <v>16</v>
      </c>
      <c r="C388" s="27"/>
      <c r="D388" s="33"/>
      <c r="E388" s="27"/>
      <c r="F388" s="27"/>
    </row>
    <row r="389" spans="1:6" ht="16" thickBot="1" x14ac:dyDescent="0.4">
      <c r="A389" s="12" t="s">
        <v>407</v>
      </c>
      <c r="B389" s="12" t="s">
        <v>16</v>
      </c>
      <c r="C389" s="27"/>
      <c r="D389" s="33"/>
      <c r="E389" s="27"/>
      <c r="F389" s="27"/>
    </row>
    <row r="390" spans="1:6" ht="16" thickBot="1" x14ac:dyDescent="0.4">
      <c r="A390" s="12" t="s">
        <v>408</v>
      </c>
      <c r="B390" s="12" t="s">
        <v>20</v>
      </c>
      <c r="C390" s="27"/>
      <c r="D390" s="33"/>
      <c r="E390" s="27"/>
      <c r="F390" s="27"/>
    </row>
    <row r="391" spans="1:6" ht="16" thickBot="1" x14ac:dyDescent="0.4">
      <c r="A391" s="12" t="s">
        <v>409</v>
      </c>
      <c r="B391" s="12" t="s">
        <v>16</v>
      </c>
      <c r="C391" s="27"/>
      <c r="D391" s="33"/>
      <c r="E391" s="27"/>
      <c r="F391" s="27"/>
    </row>
    <row r="392" spans="1:6" ht="16" thickBot="1" x14ac:dyDescent="0.4">
      <c r="A392" s="12" t="s">
        <v>410</v>
      </c>
      <c r="B392" s="12" t="s">
        <v>16</v>
      </c>
      <c r="C392" s="27"/>
      <c r="D392" s="33"/>
      <c r="E392" s="27"/>
      <c r="F392" s="27"/>
    </row>
    <row r="393" spans="1:6" ht="16" thickBot="1" x14ac:dyDescent="0.4">
      <c r="A393" s="12" t="s">
        <v>411</v>
      </c>
      <c r="B393" s="12" t="s">
        <v>20</v>
      </c>
      <c r="C393" s="27"/>
      <c r="D393" s="33"/>
      <c r="E393" s="27"/>
      <c r="F393" s="27"/>
    </row>
    <row r="394" spans="1:6" ht="16" thickBot="1" x14ac:dyDescent="0.4">
      <c r="A394" s="12" t="s">
        <v>412</v>
      </c>
      <c r="B394" s="12" t="s">
        <v>13</v>
      </c>
      <c r="C394" s="27"/>
      <c r="D394" s="33"/>
      <c r="E394" s="27"/>
      <c r="F394" s="27"/>
    </row>
    <row r="395" spans="1:6" ht="16" thickBot="1" x14ac:dyDescent="0.4">
      <c r="A395" s="12" t="s">
        <v>413</v>
      </c>
      <c r="B395" s="12" t="s">
        <v>13</v>
      </c>
      <c r="C395" s="27"/>
      <c r="D395" s="33"/>
      <c r="E395" s="27"/>
      <c r="F395" s="27"/>
    </row>
    <row r="396" spans="1:6" ht="16" thickBot="1" x14ac:dyDescent="0.4">
      <c r="A396" s="12" t="s">
        <v>414</v>
      </c>
      <c r="B396" s="12" t="s">
        <v>16</v>
      </c>
      <c r="C396" s="27"/>
      <c r="D396" s="33"/>
      <c r="E396" s="27"/>
      <c r="F396" s="27"/>
    </row>
    <row r="397" spans="1:6" ht="16" thickBot="1" x14ac:dyDescent="0.4">
      <c r="A397" s="12" t="s">
        <v>415</v>
      </c>
      <c r="B397" s="12" t="s">
        <v>13</v>
      </c>
      <c r="C397" s="27"/>
      <c r="D397" s="33"/>
      <c r="E397" s="27"/>
      <c r="F397" s="27"/>
    </row>
    <row r="398" spans="1:6" ht="16" thickBot="1" x14ac:dyDescent="0.4">
      <c r="A398" s="12" t="s">
        <v>416</v>
      </c>
      <c r="B398" s="12" t="s">
        <v>16</v>
      </c>
      <c r="C398" s="27"/>
      <c r="D398" s="33"/>
      <c r="E398" s="27"/>
      <c r="F398" s="27"/>
    </row>
    <row r="399" spans="1:6" ht="16" thickBot="1" x14ac:dyDescent="0.4">
      <c r="A399" s="12" t="s">
        <v>417</v>
      </c>
      <c r="B399" s="12" t="s">
        <v>16</v>
      </c>
      <c r="C399" s="27"/>
      <c r="D399" s="33"/>
      <c r="E399" s="27"/>
      <c r="F399" s="27"/>
    </row>
    <row r="400" spans="1:6" ht="16" thickBot="1" x14ac:dyDescent="0.4">
      <c r="A400" s="12" t="s">
        <v>418</v>
      </c>
      <c r="B400" s="12" t="s">
        <v>13</v>
      </c>
      <c r="C400" s="27"/>
      <c r="D400" s="33"/>
      <c r="E400" s="27"/>
      <c r="F400" s="27"/>
    </row>
    <row r="401" spans="1:6" ht="16" thickBot="1" x14ac:dyDescent="0.4">
      <c r="A401" s="12" t="s">
        <v>419</v>
      </c>
      <c r="B401" s="12" t="s">
        <v>16</v>
      </c>
      <c r="C401" s="27"/>
      <c r="D401" s="33"/>
      <c r="E401" s="27"/>
      <c r="F401" s="27"/>
    </row>
    <row r="402" spans="1:6" ht="16" thickBot="1" x14ac:dyDescent="0.4">
      <c r="A402" s="12" t="s">
        <v>420</v>
      </c>
      <c r="B402" s="12" t="s">
        <v>16</v>
      </c>
      <c r="C402" s="27"/>
      <c r="D402" s="33"/>
      <c r="E402" s="27"/>
      <c r="F402" s="27"/>
    </row>
    <row r="403" spans="1:6" ht="16" thickBot="1" x14ac:dyDescent="0.4">
      <c r="A403" s="12" t="s">
        <v>421</v>
      </c>
      <c r="B403" s="12" t="s">
        <v>16</v>
      </c>
      <c r="C403" s="27"/>
      <c r="D403" s="33"/>
      <c r="E403" s="27"/>
      <c r="F403" s="27"/>
    </row>
    <row r="404" spans="1:6" ht="16" thickBot="1" x14ac:dyDescent="0.4">
      <c r="A404" s="12" t="s">
        <v>422</v>
      </c>
      <c r="B404" s="12" t="s">
        <v>16</v>
      </c>
      <c r="C404" s="27"/>
      <c r="D404" s="33"/>
      <c r="E404" s="27"/>
      <c r="F404" s="27"/>
    </row>
    <row r="405" spans="1:6" ht="16" thickBot="1" x14ac:dyDescent="0.4">
      <c r="A405" s="12" t="s">
        <v>423</v>
      </c>
      <c r="B405" s="12" t="s">
        <v>16</v>
      </c>
      <c r="C405" s="27"/>
      <c r="D405" s="33"/>
      <c r="E405" s="27"/>
      <c r="F405" s="27"/>
    </row>
    <row r="406" spans="1:6" ht="16" thickBot="1" x14ac:dyDescent="0.4">
      <c r="A406" s="12" t="s">
        <v>424</v>
      </c>
      <c r="B406" s="12" t="s">
        <v>16</v>
      </c>
      <c r="C406" s="27"/>
      <c r="D406" s="33"/>
      <c r="E406" s="27"/>
      <c r="F406" s="27"/>
    </row>
    <row r="407" spans="1:6" ht="16" thickBot="1" x14ac:dyDescent="0.4">
      <c r="A407" s="12" t="s">
        <v>425</v>
      </c>
      <c r="B407" s="12" t="s">
        <v>13</v>
      </c>
      <c r="C407" s="27"/>
      <c r="D407" s="33"/>
      <c r="E407" s="27"/>
      <c r="F407" s="27"/>
    </row>
    <row r="408" spans="1:6" ht="16" thickBot="1" x14ac:dyDescent="0.4">
      <c r="A408" s="12" t="s">
        <v>426</v>
      </c>
      <c r="B408" s="12" t="s">
        <v>16</v>
      </c>
      <c r="C408" s="27"/>
      <c r="D408" s="33"/>
      <c r="E408" s="27"/>
      <c r="F408" s="27"/>
    </row>
    <row r="409" spans="1:6" ht="16" thickBot="1" x14ac:dyDescent="0.4">
      <c r="A409" s="12" t="s">
        <v>427</v>
      </c>
      <c r="B409" s="12" t="s">
        <v>16</v>
      </c>
      <c r="C409" s="27"/>
      <c r="D409" s="33"/>
      <c r="E409" s="27"/>
      <c r="F409" s="27"/>
    </row>
    <row r="410" spans="1:6" ht="16" thickBot="1" x14ac:dyDescent="0.4">
      <c r="A410" s="12" t="s">
        <v>428</v>
      </c>
      <c r="B410" s="12" t="s">
        <v>20</v>
      </c>
      <c r="C410" s="27"/>
      <c r="D410" s="33"/>
      <c r="E410" s="27"/>
      <c r="F410" s="27"/>
    </row>
    <row r="411" spans="1:6" ht="16" thickBot="1" x14ac:dyDescent="0.4">
      <c r="A411" s="12" t="s">
        <v>429</v>
      </c>
      <c r="B411" s="12" t="s">
        <v>20</v>
      </c>
      <c r="C411" s="27"/>
      <c r="D411" s="33"/>
      <c r="E411" s="27"/>
      <c r="F411" s="27"/>
    </row>
    <row r="412" spans="1:6" ht="16" thickBot="1" x14ac:dyDescent="0.4">
      <c r="A412" s="12" t="s">
        <v>430</v>
      </c>
      <c r="B412" s="12" t="s">
        <v>13</v>
      </c>
      <c r="C412" s="27"/>
      <c r="D412" s="33"/>
      <c r="E412" s="27"/>
      <c r="F412" s="27"/>
    </row>
    <row r="413" spans="1:6" ht="16" thickBot="1" x14ac:dyDescent="0.4">
      <c r="A413" s="12" t="s">
        <v>431</v>
      </c>
      <c r="B413" s="12" t="s">
        <v>4</v>
      </c>
      <c r="C413" s="27"/>
      <c r="D413" s="33"/>
      <c r="E413" s="27"/>
      <c r="F413" s="27"/>
    </row>
    <row r="414" spans="1:6" ht="16" thickBot="1" x14ac:dyDescent="0.4">
      <c r="A414" s="12" t="s">
        <v>432</v>
      </c>
      <c r="B414" s="12" t="s">
        <v>20</v>
      </c>
      <c r="C414" s="27"/>
      <c r="D414" s="33"/>
      <c r="E414" s="27"/>
      <c r="F414" s="27"/>
    </row>
    <row r="415" spans="1:6" ht="16" thickBot="1" x14ac:dyDescent="0.4">
      <c r="A415" s="12" t="s">
        <v>433</v>
      </c>
      <c r="B415" s="12" t="s">
        <v>16</v>
      </c>
      <c r="C415" s="27"/>
      <c r="D415" s="33"/>
      <c r="E415" s="27"/>
      <c r="F415" s="27"/>
    </row>
    <row r="416" spans="1:6" ht="16" thickBot="1" x14ac:dyDescent="0.4">
      <c r="A416" s="12" t="s">
        <v>434</v>
      </c>
      <c r="B416" s="12" t="s">
        <v>13</v>
      </c>
      <c r="C416" s="27"/>
      <c r="D416" s="33"/>
      <c r="E416" s="27"/>
      <c r="F416" s="27"/>
    </row>
    <row r="417" spans="1:6" ht="16" thickBot="1" x14ac:dyDescent="0.4">
      <c r="A417" s="12" t="s">
        <v>435</v>
      </c>
      <c r="B417" s="12" t="s">
        <v>16</v>
      </c>
      <c r="C417" s="27"/>
      <c r="D417" s="33"/>
      <c r="E417" s="27"/>
      <c r="F417" s="27"/>
    </row>
    <row r="418" spans="1:6" ht="16" thickBot="1" x14ac:dyDescent="0.4">
      <c r="A418" s="12" t="s">
        <v>436</v>
      </c>
      <c r="B418" s="12" t="s">
        <v>16</v>
      </c>
      <c r="C418" s="27"/>
      <c r="D418" s="33"/>
      <c r="E418" s="27"/>
      <c r="F418" s="27"/>
    </row>
    <row r="419" spans="1:6" ht="16" thickBot="1" x14ac:dyDescent="0.4">
      <c r="A419" s="12" t="s">
        <v>437</v>
      </c>
      <c r="B419" s="12" t="s">
        <v>16</v>
      </c>
      <c r="C419" s="27"/>
      <c r="D419" s="33"/>
      <c r="E419" s="27"/>
      <c r="F419" s="27"/>
    </row>
    <row r="420" spans="1:6" ht="16" thickBot="1" x14ac:dyDescent="0.4">
      <c r="A420" s="12" t="s">
        <v>438</v>
      </c>
      <c r="B420" s="12" t="s">
        <v>13</v>
      </c>
      <c r="C420" s="27"/>
      <c r="D420" s="33"/>
      <c r="E420" s="27"/>
      <c r="F420" s="27"/>
    </row>
    <row r="421" spans="1:6" ht="16" thickBot="1" x14ac:dyDescent="0.4">
      <c r="A421" s="12" t="s">
        <v>439</v>
      </c>
      <c r="B421" s="12" t="s">
        <v>16</v>
      </c>
      <c r="C421" s="27"/>
      <c r="D421" s="33"/>
      <c r="E421" s="27"/>
      <c r="F421" s="27"/>
    </row>
    <row r="422" spans="1:6" ht="16" thickBot="1" x14ac:dyDescent="0.4">
      <c r="A422" s="12" t="s">
        <v>440</v>
      </c>
      <c r="B422" s="12" t="s">
        <v>13</v>
      </c>
      <c r="C422" s="27"/>
      <c r="D422" s="33"/>
      <c r="E422" s="27"/>
      <c r="F422" s="27"/>
    </row>
    <row r="423" spans="1:6" ht="16" thickBot="1" x14ac:dyDescent="0.4">
      <c r="A423" s="12" t="s">
        <v>441</v>
      </c>
      <c r="B423" s="12" t="s">
        <v>13</v>
      </c>
      <c r="C423" s="27"/>
      <c r="D423" s="33"/>
      <c r="E423" s="27"/>
      <c r="F423" s="27"/>
    </row>
    <row r="424" spans="1:6" ht="16" thickBot="1" x14ac:dyDescent="0.4">
      <c r="A424" s="12" t="s">
        <v>442</v>
      </c>
      <c r="B424" s="12" t="s">
        <v>20</v>
      </c>
      <c r="C424" s="27"/>
      <c r="D424" s="33"/>
      <c r="E424" s="27"/>
      <c r="F424" s="27"/>
    </row>
    <row r="425" spans="1:6" ht="16" thickBot="1" x14ac:dyDescent="0.4">
      <c r="A425" s="12" t="s">
        <v>443</v>
      </c>
      <c r="B425" s="12" t="s">
        <v>20</v>
      </c>
      <c r="C425" s="27"/>
      <c r="D425" s="33"/>
      <c r="E425" s="27"/>
      <c r="F425" s="27"/>
    </row>
    <row r="426" spans="1:6" ht="16" thickBot="1" x14ac:dyDescent="0.4">
      <c r="A426" s="12" t="s">
        <v>444</v>
      </c>
      <c r="B426" s="12" t="s">
        <v>16</v>
      </c>
      <c r="C426" s="27"/>
      <c r="D426" s="33"/>
      <c r="E426" s="27"/>
      <c r="F426" s="27"/>
    </row>
    <row r="427" spans="1:6" ht="16" thickBot="1" x14ac:dyDescent="0.4">
      <c r="A427" s="12" t="s">
        <v>445</v>
      </c>
      <c r="B427" s="12" t="s">
        <v>16</v>
      </c>
      <c r="C427" s="27"/>
      <c r="D427" s="33"/>
      <c r="E427" s="27"/>
      <c r="F427" s="27"/>
    </row>
    <row r="428" spans="1:6" ht="16" thickBot="1" x14ac:dyDescent="0.4">
      <c r="A428" s="12" t="s">
        <v>446</v>
      </c>
      <c r="B428" s="12" t="s">
        <v>16</v>
      </c>
      <c r="C428" s="27"/>
      <c r="D428" s="33"/>
      <c r="E428" s="27"/>
      <c r="F428" s="27"/>
    </row>
    <row r="429" spans="1:6" ht="16" thickBot="1" x14ac:dyDescent="0.4">
      <c r="A429" s="12" t="s">
        <v>447</v>
      </c>
      <c r="B429" s="12" t="s">
        <v>16</v>
      </c>
      <c r="C429" s="27"/>
      <c r="D429" s="33"/>
      <c r="E429" s="27"/>
      <c r="F429" s="27"/>
    </row>
    <row r="430" spans="1:6" ht="16" thickBot="1" x14ac:dyDescent="0.4">
      <c r="A430" s="12" t="s">
        <v>448</v>
      </c>
      <c r="B430" s="12" t="s">
        <v>16</v>
      </c>
      <c r="C430" s="27"/>
      <c r="D430" s="33"/>
      <c r="E430" s="27"/>
      <c r="F430" s="27"/>
    </row>
    <row r="431" spans="1:6" ht="16" thickBot="1" x14ac:dyDescent="0.4">
      <c r="A431" s="12" t="s">
        <v>449</v>
      </c>
      <c r="B431" s="12" t="s">
        <v>16</v>
      </c>
      <c r="C431" s="27"/>
      <c r="D431" s="33"/>
      <c r="E431" s="27"/>
      <c r="F431" s="27"/>
    </row>
    <row r="432" spans="1:6" ht="16" thickBot="1" x14ac:dyDescent="0.4">
      <c r="A432" s="12" t="s">
        <v>450</v>
      </c>
      <c r="B432" s="12" t="s">
        <v>16</v>
      </c>
      <c r="C432" s="27"/>
      <c r="D432" s="33"/>
      <c r="E432" s="27"/>
      <c r="F432" s="27"/>
    </row>
    <row r="433" spans="1:6" ht="16" thickBot="1" x14ac:dyDescent="0.4">
      <c r="A433" s="12" t="s">
        <v>451</v>
      </c>
      <c r="B433" s="12" t="s">
        <v>16</v>
      </c>
      <c r="C433" s="27"/>
      <c r="D433" s="33"/>
      <c r="E433" s="27"/>
      <c r="F433" s="27"/>
    </row>
    <row r="434" spans="1:6" ht="16" thickBot="1" x14ac:dyDescent="0.4">
      <c r="A434" s="12" t="s">
        <v>452</v>
      </c>
      <c r="B434" s="12" t="s">
        <v>16</v>
      </c>
      <c r="C434" s="27"/>
      <c r="D434" s="33"/>
      <c r="E434" s="27"/>
      <c r="F434" s="27"/>
    </row>
    <row r="435" spans="1:6" ht="16" thickBot="1" x14ac:dyDescent="0.4">
      <c r="A435" s="12" t="s">
        <v>453</v>
      </c>
      <c r="B435" s="12" t="s">
        <v>16</v>
      </c>
      <c r="C435" s="27"/>
      <c r="D435" s="33"/>
      <c r="E435" s="27"/>
      <c r="F435" s="27"/>
    </row>
    <row r="436" spans="1:6" ht="16" thickBot="1" x14ac:dyDescent="0.4">
      <c r="A436" s="12" t="s">
        <v>454</v>
      </c>
      <c r="B436" s="12" t="s">
        <v>20</v>
      </c>
      <c r="C436" s="27"/>
      <c r="D436" s="33"/>
      <c r="E436" s="27"/>
      <c r="F436" s="27"/>
    </row>
    <row r="437" spans="1:6" ht="16" thickBot="1" x14ac:dyDescent="0.4">
      <c r="A437" s="12" t="s">
        <v>455</v>
      </c>
      <c r="B437" s="12" t="s">
        <v>13</v>
      </c>
      <c r="C437" s="27"/>
      <c r="D437" s="33"/>
      <c r="E437" s="27"/>
      <c r="F437" s="27"/>
    </row>
    <row r="438" spans="1:6" ht="16" thickBot="1" x14ac:dyDescent="0.4">
      <c r="A438" s="12" t="s">
        <v>456</v>
      </c>
      <c r="B438" s="12" t="s">
        <v>13</v>
      </c>
      <c r="C438" s="27"/>
      <c r="D438" s="33"/>
      <c r="E438" s="27"/>
      <c r="F438" s="27"/>
    </row>
    <row r="439" spans="1:6" ht="16" thickBot="1" x14ac:dyDescent="0.4">
      <c r="A439" s="12" t="s">
        <v>457</v>
      </c>
      <c r="B439" s="12" t="s">
        <v>13</v>
      </c>
      <c r="C439" s="27"/>
      <c r="D439" s="33"/>
      <c r="E439" s="27"/>
      <c r="F439" s="27"/>
    </row>
    <row r="440" spans="1:6" ht="16" thickBot="1" x14ac:dyDescent="0.4">
      <c r="A440" s="12" t="s">
        <v>458</v>
      </c>
      <c r="B440" s="12" t="s">
        <v>16</v>
      </c>
      <c r="C440" s="27"/>
      <c r="D440" s="33"/>
      <c r="E440" s="27"/>
      <c r="F440" s="27"/>
    </row>
    <row r="441" spans="1:6" ht="16" thickBot="1" x14ac:dyDescent="0.4">
      <c r="A441" s="12" t="s">
        <v>459</v>
      </c>
      <c r="B441" s="12" t="s">
        <v>13</v>
      </c>
      <c r="C441" s="27"/>
      <c r="D441" s="33"/>
      <c r="E441" s="27"/>
      <c r="F441" s="27"/>
    </row>
    <row r="442" spans="1:6" ht="16" thickBot="1" x14ac:dyDescent="0.4">
      <c r="A442" s="12" t="s">
        <v>460</v>
      </c>
      <c r="B442" s="12" t="s">
        <v>16</v>
      </c>
      <c r="C442" s="27"/>
      <c r="D442" s="33"/>
      <c r="E442" s="27"/>
      <c r="F442" s="27"/>
    </row>
    <row r="443" spans="1:6" ht="16" thickBot="1" x14ac:dyDescent="0.4">
      <c r="A443" s="12" t="s">
        <v>461</v>
      </c>
      <c r="B443" s="12" t="s">
        <v>16</v>
      </c>
      <c r="C443" s="27"/>
      <c r="D443" s="33"/>
      <c r="E443" s="27"/>
      <c r="F443" s="27"/>
    </row>
    <row r="444" spans="1:6" ht="16" thickBot="1" x14ac:dyDescent="0.4">
      <c r="A444" s="12" t="s">
        <v>462</v>
      </c>
      <c r="B444" s="12" t="s">
        <v>16</v>
      </c>
      <c r="C444" s="27"/>
      <c r="D444" s="33"/>
      <c r="E444" s="27"/>
      <c r="F444" s="27"/>
    </row>
    <row r="445" spans="1:6" ht="16" thickBot="1" x14ac:dyDescent="0.4">
      <c r="A445" s="12" t="s">
        <v>463</v>
      </c>
      <c r="B445" s="12" t="s">
        <v>16</v>
      </c>
      <c r="C445" s="27"/>
      <c r="D445" s="33"/>
      <c r="E445" s="27"/>
      <c r="F445" s="27"/>
    </row>
    <row r="446" spans="1:6" ht="16" thickBot="1" x14ac:dyDescent="0.4">
      <c r="A446" s="12" t="s">
        <v>464</v>
      </c>
      <c r="B446" s="12" t="s">
        <v>16</v>
      </c>
      <c r="C446" s="27"/>
      <c r="D446" s="33"/>
      <c r="E446" s="27"/>
      <c r="F446" s="27"/>
    </row>
    <row r="447" spans="1:6" ht="17.25" customHeight="1" thickBot="1" x14ac:dyDescent="0.4">
      <c r="A447" s="12" t="s">
        <v>465</v>
      </c>
      <c r="B447" s="12" t="s">
        <v>13</v>
      </c>
      <c r="C447" s="27"/>
      <c r="D447" s="33"/>
      <c r="E447" s="27"/>
      <c r="F447" s="27"/>
    </row>
    <row r="448" spans="1:6" ht="17.25" customHeight="1" thickBot="1" x14ac:dyDescent="0.4">
      <c r="A448" s="12" t="s">
        <v>466</v>
      </c>
      <c r="B448" s="12" t="s">
        <v>16</v>
      </c>
      <c r="C448" s="27"/>
      <c r="D448" s="33"/>
      <c r="E448" s="27"/>
      <c r="F448" s="27"/>
    </row>
    <row r="449" spans="1:6" ht="16" thickBot="1" x14ac:dyDescent="0.4">
      <c r="A449" s="12" t="s">
        <v>467</v>
      </c>
      <c r="B449" s="12" t="s">
        <v>16</v>
      </c>
      <c r="C449" s="27"/>
      <c r="D449" s="33"/>
      <c r="E449" s="27"/>
      <c r="F449" s="27"/>
    </row>
    <row r="450" spans="1:6" ht="16" thickBot="1" x14ac:dyDescent="0.4">
      <c r="A450" s="12" t="s">
        <v>468</v>
      </c>
      <c r="B450" s="12" t="s">
        <v>16</v>
      </c>
      <c r="C450" s="27"/>
      <c r="D450" s="33"/>
      <c r="E450" s="27"/>
      <c r="F450" s="27"/>
    </row>
    <row r="451" spans="1:6" ht="16" thickBot="1" x14ac:dyDescent="0.4">
      <c r="A451" s="12" t="s">
        <v>469</v>
      </c>
      <c r="B451" s="12" t="s">
        <v>16</v>
      </c>
      <c r="C451" s="27"/>
      <c r="D451" s="33"/>
      <c r="E451" s="27"/>
      <c r="F451" s="27"/>
    </row>
    <row r="452" spans="1:6" ht="16" thickBot="1" x14ac:dyDescent="0.4">
      <c r="A452" s="12" t="s">
        <v>470</v>
      </c>
      <c r="B452" s="12" t="s">
        <v>20</v>
      </c>
      <c r="C452" s="27"/>
      <c r="D452" s="33"/>
      <c r="E452" s="27"/>
      <c r="F452" s="27"/>
    </row>
    <row r="453" spans="1:6" ht="16" thickBot="1" x14ac:dyDescent="0.4">
      <c r="A453" s="12" t="s">
        <v>471</v>
      </c>
      <c r="B453" s="12" t="s">
        <v>16</v>
      </c>
      <c r="C453" s="27"/>
      <c r="D453" s="33"/>
      <c r="E453" s="27"/>
      <c r="F453" s="27"/>
    </row>
    <row r="454" spans="1:6" ht="16" thickBot="1" x14ac:dyDescent="0.4">
      <c r="A454" s="12" t="s">
        <v>472</v>
      </c>
      <c r="B454" s="12" t="s">
        <v>16</v>
      </c>
      <c r="C454" s="27"/>
      <c r="D454" s="33"/>
      <c r="E454" s="27"/>
      <c r="F454" s="27"/>
    </row>
    <row r="455" spans="1:6" ht="16" thickBot="1" x14ac:dyDescent="0.4">
      <c r="A455" s="12" t="s">
        <v>473</v>
      </c>
      <c r="B455" s="12" t="s">
        <v>20</v>
      </c>
      <c r="C455" s="27"/>
      <c r="D455" s="33"/>
      <c r="E455" s="27"/>
      <c r="F455" s="27"/>
    </row>
    <row r="456" spans="1:6" ht="16" thickBot="1" x14ac:dyDescent="0.4">
      <c r="A456" s="12" t="s">
        <v>474</v>
      </c>
      <c r="B456" s="12" t="s">
        <v>16</v>
      </c>
      <c r="C456" s="27"/>
      <c r="D456" s="33"/>
      <c r="E456" s="27"/>
      <c r="F456" s="27"/>
    </row>
    <row r="457" spans="1:6" ht="16" thickBot="1" x14ac:dyDescent="0.4">
      <c r="A457" s="12" t="s">
        <v>475</v>
      </c>
      <c r="B457" s="12" t="s">
        <v>16</v>
      </c>
      <c r="C457" s="27"/>
      <c r="D457" s="33"/>
      <c r="E457" s="27"/>
      <c r="F457" s="27"/>
    </row>
    <row r="458" spans="1:6" ht="16" thickBot="1" x14ac:dyDescent="0.4">
      <c r="A458" s="12" t="s">
        <v>476</v>
      </c>
      <c r="B458" s="12" t="s">
        <v>16</v>
      </c>
      <c r="C458" s="27"/>
      <c r="D458" s="33"/>
      <c r="E458" s="27"/>
      <c r="F458" s="27"/>
    </row>
    <row r="459" spans="1:6" ht="16" thickBot="1" x14ac:dyDescent="0.4">
      <c r="A459" s="12" t="s">
        <v>477</v>
      </c>
      <c r="B459" s="12" t="s">
        <v>16</v>
      </c>
      <c r="C459" s="27"/>
      <c r="D459" s="33"/>
      <c r="E459" s="27"/>
      <c r="F459" s="27"/>
    </row>
    <row r="460" spans="1:6" ht="16" thickBot="1" x14ac:dyDescent="0.4">
      <c r="A460" s="12" t="s">
        <v>478</v>
      </c>
      <c r="B460" s="12" t="s">
        <v>16</v>
      </c>
      <c r="C460" s="27"/>
      <c r="D460" s="33"/>
      <c r="E460" s="27"/>
      <c r="F460" s="27"/>
    </row>
    <row r="461" spans="1:6" ht="16" thickBot="1" x14ac:dyDescent="0.4">
      <c r="A461" s="12" t="s">
        <v>479</v>
      </c>
      <c r="B461" s="12" t="s">
        <v>16</v>
      </c>
      <c r="C461" s="27"/>
      <c r="D461" s="33"/>
      <c r="E461" s="27"/>
      <c r="F461" s="27"/>
    </row>
    <row r="462" spans="1:6" ht="16" thickBot="1" x14ac:dyDescent="0.4">
      <c r="A462" s="12" t="s">
        <v>480</v>
      </c>
      <c r="B462" s="12" t="s">
        <v>16</v>
      </c>
      <c r="C462" s="27"/>
      <c r="D462" s="33"/>
      <c r="E462" s="27"/>
      <c r="F462" s="27"/>
    </row>
    <row r="463" spans="1:6" ht="16" thickBot="1" x14ac:dyDescent="0.4">
      <c r="A463" s="12" t="s">
        <v>481</v>
      </c>
      <c r="B463" s="12" t="s">
        <v>16</v>
      </c>
      <c r="C463" s="27"/>
      <c r="D463" s="33"/>
      <c r="E463" s="27"/>
      <c r="F463" s="27"/>
    </row>
    <row r="464" spans="1:6" ht="16" thickBot="1" x14ac:dyDescent="0.4">
      <c r="A464" s="12" t="s">
        <v>482</v>
      </c>
      <c r="B464" s="12" t="s">
        <v>4</v>
      </c>
      <c r="C464" s="27"/>
      <c r="D464" s="33"/>
      <c r="E464" s="27"/>
      <c r="F464" s="27"/>
    </row>
    <row r="465" spans="1:6" ht="16" thickBot="1" x14ac:dyDescent="0.4">
      <c r="A465" s="12" t="s">
        <v>483</v>
      </c>
      <c r="B465" s="12" t="s">
        <v>16</v>
      </c>
      <c r="C465" s="27"/>
      <c r="D465" s="33"/>
      <c r="E465" s="27"/>
      <c r="F465" s="27"/>
    </row>
    <row r="466" spans="1:6" ht="16" thickBot="1" x14ac:dyDescent="0.4">
      <c r="A466" s="12" t="s">
        <v>484</v>
      </c>
      <c r="B466" s="12" t="s">
        <v>4</v>
      </c>
      <c r="C466" s="27"/>
      <c r="D466" s="33"/>
      <c r="E466" s="27"/>
      <c r="F466" s="27"/>
    </row>
    <row r="467" spans="1:6" ht="16" thickBot="1" x14ac:dyDescent="0.4">
      <c r="A467" s="12" t="s">
        <v>485</v>
      </c>
      <c r="B467" s="12" t="s">
        <v>16</v>
      </c>
      <c r="C467" s="27"/>
      <c r="D467" s="33"/>
      <c r="E467" s="27"/>
      <c r="F467" s="27"/>
    </row>
    <row r="468" spans="1:6" ht="16" thickBot="1" x14ac:dyDescent="0.4">
      <c r="A468" s="12" t="s">
        <v>486</v>
      </c>
      <c r="B468" s="12" t="s">
        <v>16</v>
      </c>
      <c r="C468" s="27"/>
      <c r="D468" s="33"/>
      <c r="E468" s="27"/>
      <c r="F468" s="27"/>
    </row>
    <row r="469" spans="1:6" ht="16" thickBot="1" x14ac:dyDescent="0.4">
      <c r="A469" s="12" t="s">
        <v>487</v>
      </c>
      <c r="B469" s="12" t="s">
        <v>16</v>
      </c>
      <c r="C469" s="27"/>
      <c r="D469" s="33"/>
      <c r="E469" s="27"/>
      <c r="F469" s="27"/>
    </row>
    <row r="470" spans="1:6" ht="16" thickBot="1" x14ac:dyDescent="0.4">
      <c r="A470" s="12" t="s">
        <v>488</v>
      </c>
      <c r="B470" s="12" t="s">
        <v>16</v>
      </c>
      <c r="C470" s="27"/>
      <c r="D470" s="33"/>
      <c r="E470" s="27"/>
      <c r="F470" s="27"/>
    </row>
    <row r="471" spans="1:6" ht="16" thickBot="1" x14ac:dyDescent="0.4">
      <c r="A471" s="12" t="s">
        <v>489</v>
      </c>
      <c r="B471" s="12" t="s">
        <v>20</v>
      </c>
      <c r="C471" s="27"/>
      <c r="D471" s="33"/>
      <c r="E471" s="27"/>
      <c r="F471" s="27"/>
    </row>
    <row r="472" spans="1:6" ht="16" thickBot="1" x14ac:dyDescent="0.4">
      <c r="A472" s="12" t="s">
        <v>490</v>
      </c>
      <c r="B472" s="12" t="s">
        <v>16</v>
      </c>
      <c r="C472" s="27"/>
      <c r="D472" s="33"/>
      <c r="E472" s="27"/>
      <c r="F472" s="27"/>
    </row>
    <row r="473" spans="1:6" ht="16" thickBot="1" x14ac:dyDescent="0.4">
      <c r="A473" s="12" t="s">
        <v>491</v>
      </c>
      <c r="B473" s="12" t="s">
        <v>16</v>
      </c>
      <c r="C473" s="27"/>
      <c r="D473" s="33"/>
      <c r="E473" s="27"/>
      <c r="F473" s="27"/>
    </row>
    <row r="474" spans="1:6" ht="16" thickBot="1" x14ac:dyDescent="0.4">
      <c r="A474" s="12" t="s">
        <v>492</v>
      </c>
      <c r="B474" s="12" t="s">
        <v>16</v>
      </c>
      <c r="C474" s="27"/>
      <c r="D474" s="33"/>
      <c r="E474" s="27"/>
      <c r="F474" s="27"/>
    </row>
    <row r="475" spans="1:6" ht="16" thickBot="1" x14ac:dyDescent="0.4">
      <c r="A475" s="12" t="s">
        <v>493</v>
      </c>
      <c r="B475" s="12" t="s">
        <v>16</v>
      </c>
      <c r="C475" s="27"/>
      <c r="D475" s="33"/>
      <c r="E475" s="27"/>
      <c r="F475" s="27"/>
    </row>
    <row r="476" spans="1:6" ht="16" thickBot="1" x14ac:dyDescent="0.4">
      <c r="A476" s="12" t="s">
        <v>494</v>
      </c>
      <c r="B476" s="12" t="s">
        <v>16</v>
      </c>
      <c r="C476" s="27"/>
      <c r="D476" s="33"/>
      <c r="E476" s="27"/>
      <c r="F476" s="27"/>
    </row>
    <row r="477" spans="1:6" ht="16" thickBot="1" x14ac:dyDescent="0.4">
      <c r="A477" s="12" t="s">
        <v>495</v>
      </c>
      <c r="B477" s="12" t="s">
        <v>13</v>
      </c>
      <c r="C477" s="27"/>
      <c r="D477" s="33"/>
      <c r="E477" s="27"/>
      <c r="F477" s="27"/>
    </row>
    <row r="478" spans="1:6" ht="16" thickBot="1" x14ac:dyDescent="0.4">
      <c r="A478" s="12" t="s">
        <v>496</v>
      </c>
      <c r="B478" s="12" t="s">
        <v>16</v>
      </c>
      <c r="C478" s="27"/>
      <c r="D478" s="33"/>
      <c r="E478" s="27"/>
      <c r="F478" s="27"/>
    </row>
    <row r="479" spans="1:6" ht="16" thickBot="1" x14ac:dyDescent="0.4">
      <c r="A479" s="12" t="s">
        <v>497</v>
      </c>
      <c r="B479" s="12" t="s">
        <v>16</v>
      </c>
      <c r="C479" s="27"/>
      <c r="D479" s="33"/>
      <c r="E479" s="27"/>
      <c r="F479" s="27"/>
    </row>
    <row r="480" spans="1:6" ht="16" thickBot="1" x14ac:dyDescent="0.4">
      <c r="A480" s="12" t="s">
        <v>498</v>
      </c>
      <c r="B480" s="12" t="s">
        <v>13</v>
      </c>
      <c r="C480" s="27"/>
      <c r="D480" s="33"/>
      <c r="E480" s="27"/>
      <c r="F480" s="27"/>
    </row>
    <row r="481" spans="1:6" ht="16" thickBot="1" x14ac:dyDescent="0.4">
      <c r="A481" s="12" t="s">
        <v>499</v>
      </c>
      <c r="B481" s="12" t="s">
        <v>16</v>
      </c>
      <c r="C481" s="27"/>
      <c r="D481" s="33"/>
      <c r="E481" s="27"/>
      <c r="F481" s="27"/>
    </row>
    <row r="482" spans="1:6" ht="16" thickBot="1" x14ac:dyDescent="0.4">
      <c r="A482" s="12" t="s">
        <v>500</v>
      </c>
      <c r="B482" s="12" t="s">
        <v>13</v>
      </c>
      <c r="C482" s="27"/>
      <c r="D482" s="33"/>
      <c r="E482" s="27"/>
      <c r="F482" s="27"/>
    </row>
    <row r="483" spans="1:6" ht="16" thickBot="1" x14ac:dyDescent="0.4">
      <c r="A483" s="12" t="s">
        <v>501</v>
      </c>
      <c r="B483" s="12" t="s">
        <v>16</v>
      </c>
      <c r="C483" s="27"/>
      <c r="D483" s="33"/>
      <c r="E483" s="27"/>
      <c r="F483" s="27"/>
    </row>
    <row r="484" spans="1:6" ht="16" thickBot="1" x14ac:dyDescent="0.4">
      <c r="A484" s="12" t="s">
        <v>502</v>
      </c>
      <c r="B484" s="12" t="s">
        <v>16</v>
      </c>
      <c r="C484" s="27"/>
      <c r="D484" s="33"/>
      <c r="E484" s="27"/>
      <c r="F484" s="27"/>
    </row>
    <row r="485" spans="1:6" ht="16" thickBot="1" x14ac:dyDescent="0.4">
      <c r="A485" s="12" t="s">
        <v>503</v>
      </c>
      <c r="B485" s="12" t="s">
        <v>16</v>
      </c>
      <c r="C485" s="27"/>
      <c r="D485" s="33"/>
      <c r="E485" s="27"/>
      <c r="F485" s="27"/>
    </row>
    <row r="486" spans="1:6" ht="16" thickBot="1" x14ac:dyDescent="0.4">
      <c r="A486" s="12" t="s">
        <v>504</v>
      </c>
      <c r="B486" s="12" t="s">
        <v>16</v>
      </c>
      <c r="C486" s="27"/>
      <c r="D486" s="33"/>
      <c r="E486" s="27"/>
      <c r="F486" s="27"/>
    </row>
    <row r="487" spans="1:6" ht="16" thickBot="1" x14ac:dyDescent="0.4">
      <c r="A487" s="12" t="s">
        <v>505</v>
      </c>
      <c r="B487" s="12" t="s">
        <v>16</v>
      </c>
      <c r="C487" s="27"/>
      <c r="D487" s="33"/>
      <c r="E487" s="27"/>
      <c r="F487" s="27"/>
    </row>
    <row r="488" spans="1:6" ht="16" thickBot="1" x14ac:dyDescent="0.4">
      <c r="A488" s="12" t="s">
        <v>506</v>
      </c>
      <c r="B488" s="12" t="s">
        <v>16</v>
      </c>
      <c r="C488" s="27"/>
      <c r="D488" s="33"/>
      <c r="E488" s="27"/>
      <c r="F488" s="27"/>
    </row>
    <row r="489" spans="1:6" ht="16" thickBot="1" x14ac:dyDescent="0.4">
      <c r="A489" s="12" t="s">
        <v>507</v>
      </c>
      <c r="B489" s="12" t="s">
        <v>13</v>
      </c>
      <c r="C489" s="27"/>
      <c r="D489" s="33"/>
      <c r="E489" s="27"/>
      <c r="F489" s="27"/>
    </row>
    <row r="490" spans="1:6" ht="16" thickBot="1" x14ac:dyDescent="0.4">
      <c r="A490" s="12" t="s">
        <v>508</v>
      </c>
      <c r="B490" s="12" t="s">
        <v>16</v>
      </c>
      <c r="C490" s="27"/>
      <c r="D490" s="33"/>
      <c r="E490" s="27"/>
      <c r="F490" s="27"/>
    </row>
    <row r="491" spans="1:6" ht="16" thickBot="1" x14ac:dyDescent="0.4">
      <c r="A491" s="12" t="s">
        <v>509</v>
      </c>
      <c r="B491" s="12" t="s">
        <v>16</v>
      </c>
      <c r="D491" s="33"/>
      <c r="E491" s="27"/>
      <c r="F491" s="27"/>
    </row>
    <row r="492" spans="1:6" ht="16" thickBot="1" x14ac:dyDescent="0.4">
      <c r="A492" s="12" t="s">
        <v>510</v>
      </c>
      <c r="B492" s="12" t="s">
        <v>13</v>
      </c>
      <c r="D492" s="33"/>
      <c r="E492" s="27"/>
      <c r="F492" s="27"/>
    </row>
    <row r="493" spans="1:6" ht="16" thickBot="1" x14ac:dyDescent="0.4">
      <c r="A493" s="12" t="s">
        <v>511</v>
      </c>
      <c r="B493" s="12" t="s">
        <v>16</v>
      </c>
      <c r="D493" s="33"/>
      <c r="E493" s="27"/>
      <c r="F493" s="27"/>
    </row>
    <row r="494" spans="1:6" ht="16" thickBot="1" x14ac:dyDescent="0.4">
      <c r="A494" s="12" t="s">
        <v>512</v>
      </c>
      <c r="B494" s="12" t="s">
        <v>13</v>
      </c>
      <c r="D494" s="33"/>
      <c r="E494" s="27"/>
      <c r="F494" s="27"/>
    </row>
    <row r="495" spans="1:6" ht="16" thickBot="1" x14ac:dyDescent="0.4">
      <c r="A495" s="12" t="s">
        <v>513</v>
      </c>
      <c r="B495" s="12" t="s">
        <v>16</v>
      </c>
      <c r="D495" s="33"/>
    </row>
    <row r="496" spans="1:6" ht="16" thickBot="1" x14ac:dyDescent="0.4">
      <c r="A496" s="12" t="s">
        <v>514</v>
      </c>
      <c r="B496" s="12" t="s">
        <v>13</v>
      </c>
      <c r="D496" s="33"/>
    </row>
    <row r="497" spans="1:4" ht="16" thickBot="1" x14ac:dyDescent="0.4">
      <c r="A497" s="12" t="s">
        <v>515</v>
      </c>
      <c r="B497" s="12" t="s">
        <v>16</v>
      </c>
      <c r="D497" s="33"/>
    </row>
    <row r="498" spans="1:4" ht="16" thickBot="1" x14ac:dyDescent="0.4">
      <c r="A498" s="12" t="s">
        <v>516</v>
      </c>
      <c r="B498" s="12" t="s">
        <v>16</v>
      </c>
    </row>
    <row r="499" spans="1:4" ht="16" thickBot="1" x14ac:dyDescent="0.4">
      <c r="A499" s="12" t="s">
        <v>517</v>
      </c>
      <c r="B499" s="12" t="s">
        <v>16</v>
      </c>
    </row>
    <row r="500" spans="1:4" ht="16" thickBot="1" x14ac:dyDescent="0.4">
      <c r="A500" s="12" t="s">
        <v>518</v>
      </c>
      <c r="B500" s="12" t="s">
        <v>16</v>
      </c>
    </row>
    <row r="501" spans="1:4" ht="16" thickBot="1" x14ac:dyDescent="0.4">
      <c r="A501" s="12" t="s">
        <v>519</v>
      </c>
      <c r="B501" s="12" t="s">
        <v>16</v>
      </c>
    </row>
    <row r="502" spans="1:4" ht="16" thickBot="1" x14ac:dyDescent="0.4">
      <c r="A502" s="12" t="s">
        <v>520</v>
      </c>
      <c r="B502" s="12" t="s">
        <v>16</v>
      </c>
    </row>
    <row r="503" spans="1:4" ht="16" thickBot="1" x14ac:dyDescent="0.4">
      <c r="A503" s="12" t="s">
        <v>521</v>
      </c>
      <c r="B503" s="12" t="s">
        <v>16</v>
      </c>
    </row>
    <row r="504" spans="1:4" ht="16" thickBot="1" x14ac:dyDescent="0.4">
      <c r="A504" s="12" t="s">
        <v>522</v>
      </c>
      <c r="B504" s="12" t="s">
        <v>16</v>
      </c>
    </row>
    <row r="505" spans="1:4" ht="16" thickBot="1" x14ac:dyDescent="0.4">
      <c r="A505" s="12" t="s">
        <v>523</v>
      </c>
      <c r="B505" s="12" t="s">
        <v>16</v>
      </c>
    </row>
    <row r="506" spans="1:4" ht="16" thickBot="1" x14ac:dyDescent="0.4">
      <c r="A506" s="12" t="s">
        <v>524</v>
      </c>
      <c r="B506" s="12" t="s">
        <v>16</v>
      </c>
    </row>
    <row r="507" spans="1:4" ht="16" thickBot="1" x14ac:dyDescent="0.4">
      <c r="A507" s="12" t="s">
        <v>525</v>
      </c>
      <c r="B507" s="12" t="s">
        <v>13</v>
      </c>
    </row>
    <row r="508" spans="1:4" ht="16" thickBot="1" x14ac:dyDescent="0.4">
      <c r="A508" s="12" t="s">
        <v>526</v>
      </c>
      <c r="B508" s="12" t="s">
        <v>13</v>
      </c>
    </row>
    <row r="509" spans="1:4" ht="16" thickBot="1" x14ac:dyDescent="0.4">
      <c r="A509" s="12" t="s">
        <v>527</v>
      </c>
      <c r="B509" s="12" t="s">
        <v>16</v>
      </c>
    </row>
    <row r="510" spans="1:4" ht="16" thickBot="1" x14ac:dyDescent="0.4">
      <c r="A510" s="12" t="s">
        <v>528</v>
      </c>
      <c r="B510" s="12" t="s">
        <v>16</v>
      </c>
    </row>
    <row r="511" spans="1:4" ht="16" thickBot="1" x14ac:dyDescent="0.4">
      <c r="A511" s="12" t="s">
        <v>529</v>
      </c>
      <c r="B511" s="12" t="s">
        <v>16</v>
      </c>
    </row>
    <row r="512" spans="1:4" ht="16" thickBot="1" x14ac:dyDescent="0.4">
      <c r="A512" s="12" t="s">
        <v>530</v>
      </c>
      <c r="B512" s="12" t="s">
        <v>20</v>
      </c>
    </row>
    <row r="513" spans="1:2" ht="16" thickBot="1" x14ac:dyDescent="0.4">
      <c r="A513" s="12" t="s">
        <v>531</v>
      </c>
      <c r="B513" s="12" t="s">
        <v>13</v>
      </c>
    </row>
    <row r="514" spans="1:2" ht="16" thickBot="1" x14ac:dyDescent="0.4">
      <c r="A514" s="12" t="s">
        <v>532</v>
      </c>
      <c r="B514" s="12" t="s">
        <v>13</v>
      </c>
    </row>
    <row r="515" spans="1:2" ht="16" thickBot="1" x14ac:dyDescent="0.4">
      <c r="A515" s="12" t="s">
        <v>533</v>
      </c>
      <c r="B515" s="12" t="s">
        <v>16</v>
      </c>
    </row>
    <row r="516" spans="1:2" ht="16" thickBot="1" x14ac:dyDescent="0.4">
      <c r="A516" s="12" t="s">
        <v>534</v>
      </c>
      <c r="B516" s="12" t="s">
        <v>16</v>
      </c>
    </row>
    <row r="517" spans="1:2" ht="16" thickBot="1" x14ac:dyDescent="0.4">
      <c r="A517" s="12" t="s">
        <v>535</v>
      </c>
      <c r="B517" s="12" t="s">
        <v>16</v>
      </c>
    </row>
    <row r="518" spans="1:2" ht="16" thickBot="1" x14ac:dyDescent="0.4">
      <c r="A518" s="12" t="s">
        <v>536</v>
      </c>
      <c r="B518" s="12" t="s">
        <v>16</v>
      </c>
    </row>
    <row r="519" spans="1:2" ht="16" thickBot="1" x14ac:dyDescent="0.4">
      <c r="A519" s="12" t="s">
        <v>537</v>
      </c>
      <c r="B519" s="12" t="s">
        <v>16</v>
      </c>
    </row>
    <row r="520" spans="1:2" ht="16" thickBot="1" x14ac:dyDescent="0.4">
      <c r="A520" s="12" t="s">
        <v>538</v>
      </c>
      <c r="B520" s="12" t="s">
        <v>16</v>
      </c>
    </row>
    <row r="521" spans="1:2" ht="16" thickBot="1" x14ac:dyDescent="0.4">
      <c r="A521" s="12"/>
      <c r="B521" s="12"/>
    </row>
    <row r="522" spans="1:2" ht="16" thickBot="1" x14ac:dyDescent="0.4">
      <c r="A522" s="12"/>
      <c r="B522" s="12"/>
    </row>
    <row r="523" spans="1:2" ht="16" thickBot="1" x14ac:dyDescent="0.4">
      <c r="A523" s="12"/>
      <c r="B523" s="12"/>
    </row>
    <row r="524" spans="1:2" ht="16" thickBot="1" x14ac:dyDescent="0.4">
      <c r="A524" s="12"/>
      <c r="B524" s="12"/>
    </row>
    <row r="525" spans="1:2" ht="16" thickBot="1" x14ac:dyDescent="0.4">
      <c r="A525" s="12"/>
      <c r="B525" s="12"/>
    </row>
    <row r="526" spans="1:2" ht="16" thickBot="1" x14ac:dyDescent="0.4">
      <c r="A526" s="12"/>
      <c r="B526" s="12"/>
    </row>
    <row r="527" spans="1:2" ht="16" thickBot="1" x14ac:dyDescent="0.4">
      <c r="A527" s="12"/>
      <c r="B527" s="12"/>
    </row>
    <row r="528" spans="1:2" ht="16" thickBot="1" x14ac:dyDescent="0.4">
      <c r="A528" s="12"/>
      <c r="B528" s="12"/>
    </row>
    <row r="529" spans="1:2" ht="16" thickBot="1" x14ac:dyDescent="0.4">
      <c r="A529" s="12"/>
      <c r="B529" s="12"/>
    </row>
    <row r="530" spans="1:2" ht="16" thickBot="1" x14ac:dyDescent="0.4">
      <c r="A530" s="12"/>
      <c r="B530" s="12"/>
    </row>
    <row r="531" spans="1:2" ht="16" thickBot="1" x14ac:dyDescent="0.4">
      <c r="A531" s="12"/>
      <c r="B531" s="12"/>
    </row>
    <row r="532" spans="1:2" ht="16" thickBot="1" x14ac:dyDescent="0.4">
      <c r="A532" s="12"/>
      <c r="B532" s="12"/>
    </row>
    <row r="533" spans="1:2" ht="16" thickBot="1" x14ac:dyDescent="0.4">
      <c r="A533" s="12"/>
      <c r="B533" s="12"/>
    </row>
    <row r="534" spans="1:2" ht="16" thickBot="1" x14ac:dyDescent="0.4">
      <c r="A534" s="12"/>
      <c r="B534" s="12"/>
    </row>
    <row r="535" spans="1:2" ht="16" thickBot="1" x14ac:dyDescent="0.4">
      <c r="A535" s="12"/>
      <c r="B535" s="12"/>
    </row>
    <row r="536" spans="1:2" ht="16" thickBot="1" x14ac:dyDescent="0.4">
      <c r="A536" s="12"/>
      <c r="B536" s="12"/>
    </row>
    <row r="537" spans="1:2" ht="16" thickBot="1" x14ac:dyDescent="0.4">
      <c r="A537" s="12"/>
      <c r="B537" s="12"/>
    </row>
    <row r="538" spans="1:2" ht="16" thickBot="1" x14ac:dyDescent="0.4">
      <c r="A538" s="12"/>
      <c r="B538" s="12"/>
    </row>
    <row r="539" spans="1:2" ht="16" thickBot="1" x14ac:dyDescent="0.4">
      <c r="A539" s="12"/>
      <c r="B539" s="12"/>
    </row>
    <row r="540" spans="1:2" ht="16" thickBot="1" x14ac:dyDescent="0.4">
      <c r="A540" s="12"/>
      <c r="B540" s="12"/>
    </row>
    <row r="541" spans="1:2" ht="16" thickBot="1" x14ac:dyDescent="0.4">
      <c r="A541" s="12"/>
      <c r="B541" s="12"/>
    </row>
    <row r="542" spans="1:2" ht="16" thickBot="1" x14ac:dyDescent="0.4">
      <c r="A542" s="12"/>
      <c r="B542" s="12"/>
    </row>
    <row r="543" spans="1:2" ht="16" thickBot="1" x14ac:dyDescent="0.4">
      <c r="A543" s="12"/>
      <c r="B543" s="12"/>
    </row>
    <row r="544" spans="1:2" ht="16" thickBot="1" x14ac:dyDescent="0.4">
      <c r="A544" s="12"/>
      <c r="B544" s="12"/>
    </row>
    <row r="545" spans="1:2" ht="16" thickBot="1" x14ac:dyDescent="0.4">
      <c r="A545" s="12"/>
      <c r="B545" s="12"/>
    </row>
    <row r="546" spans="1:2" ht="16" thickBot="1" x14ac:dyDescent="0.4">
      <c r="A546" s="12"/>
      <c r="B546" s="12"/>
    </row>
    <row r="547" spans="1:2" ht="16" thickBot="1" x14ac:dyDescent="0.4">
      <c r="A547" s="12"/>
      <c r="B547" s="12"/>
    </row>
    <row r="548" spans="1:2" ht="16" thickBot="1" x14ac:dyDescent="0.4">
      <c r="A548" s="12"/>
      <c r="B548" s="12"/>
    </row>
    <row r="549" spans="1:2" ht="16" thickBot="1" x14ac:dyDescent="0.4">
      <c r="A549" s="12"/>
      <c r="B549" s="12"/>
    </row>
    <row r="550" spans="1:2" ht="16" thickBot="1" x14ac:dyDescent="0.4">
      <c r="A550" s="12"/>
      <c r="B550" s="12"/>
    </row>
    <row r="551" spans="1:2" ht="16" thickBot="1" x14ac:dyDescent="0.4">
      <c r="A551" s="12"/>
      <c r="B551" s="12"/>
    </row>
    <row r="552" spans="1:2" ht="16" thickBot="1" x14ac:dyDescent="0.4">
      <c r="A552" s="12"/>
      <c r="B552" s="12"/>
    </row>
    <row r="553" spans="1:2" ht="16" thickBot="1" x14ac:dyDescent="0.4">
      <c r="A553" s="12"/>
      <c r="B553" s="12"/>
    </row>
    <row r="554" spans="1:2" ht="16" thickBot="1" x14ac:dyDescent="0.4">
      <c r="A554" s="12"/>
      <c r="B554" s="12"/>
    </row>
    <row r="555" spans="1:2" ht="16" thickBot="1" x14ac:dyDescent="0.4">
      <c r="A555" s="12"/>
      <c r="B555" s="12"/>
    </row>
    <row r="556" spans="1:2" ht="16" thickBot="1" x14ac:dyDescent="0.4">
      <c r="A556" s="12"/>
      <c r="B556" s="12"/>
    </row>
    <row r="557" spans="1:2" ht="16" thickBot="1" x14ac:dyDescent="0.4">
      <c r="A557" s="12"/>
      <c r="B557" s="12"/>
    </row>
    <row r="558" spans="1:2" ht="16" thickBot="1" x14ac:dyDescent="0.4">
      <c r="A558" s="12"/>
      <c r="B558" s="12"/>
    </row>
    <row r="559" spans="1:2" ht="16" thickBot="1" x14ac:dyDescent="0.4">
      <c r="A559" s="12"/>
      <c r="B559" s="12"/>
    </row>
    <row r="560" spans="1:2" ht="16" thickBot="1" x14ac:dyDescent="0.4">
      <c r="A560" s="12"/>
      <c r="B560" s="12"/>
    </row>
    <row r="561" spans="1:2" ht="16" thickBot="1" x14ac:dyDescent="0.4">
      <c r="A561" s="12"/>
      <c r="B561" s="12"/>
    </row>
    <row r="562" spans="1:2" ht="16" thickBot="1" x14ac:dyDescent="0.4">
      <c r="A562" s="12"/>
      <c r="B562" s="12"/>
    </row>
    <row r="563" spans="1:2" ht="16" thickBot="1" x14ac:dyDescent="0.4">
      <c r="A563" s="12"/>
      <c r="B563" s="12"/>
    </row>
    <row r="564" spans="1:2" ht="16" thickBot="1" x14ac:dyDescent="0.4">
      <c r="A564" s="12"/>
      <c r="B564" s="12"/>
    </row>
    <row r="565" spans="1:2" ht="16" thickBot="1" x14ac:dyDescent="0.4">
      <c r="A565" s="12"/>
      <c r="B565" s="12"/>
    </row>
    <row r="566" spans="1:2" ht="16" thickBot="1" x14ac:dyDescent="0.4">
      <c r="A566" s="12"/>
      <c r="B566" s="12"/>
    </row>
    <row r="567" spans="1:2" ht="16" thickBot="1" x14ac:dyDescent="0.4">
      <c r="A567" s="12"/>
      <c r="B567" s="12"/>
    </row>
    <row r="568" spans="1:2" ht="16" thickBot="1" x14ac:dyDescent="0.4">
      <c r="A568" s="12"/>
      <c r="B568" s="12"/>
    </row>
    <row r="569" spans="1:2" ht="16" thickBot="1" x14ac:dyDescent="0.4">
      <c r="A569" s="12"/>
      <c r="B569" s="12"/>
    </row>
    <row r="570" spans="1:2" ht="16" thickBot="1" x14ac:dyDescent="0.4">
      <c r="A570" s="12"/>
      <c r="B570" s="12"/>
    </row>
    <row r="571" spans="1:2" ht="16" thickBot="1" x14ac:dyDescent="0.4">
      <c r="A571" s="12"/>
      <c r="B571" s="12"/>
    </row>
    <row r="572" spans="1:2" ht="16" thickBot="1" x14ac:dyDescent="0.4">
      <c r="A572" s="12"/>
      <c r="B572" s="12"/>
    </row>
    <row r="573" spans="1:2" ht="16" thickBot="1" x14ac:dyDescent="0.4">
      <c r="A573" s="12"/>
      <c r="B573" s="12"/>
    </row>
    <row r="574" spans="1:2" ht="16" thickBot="1" x14ac:dyDescent="0.4">
      <c r="A574" s="12"/>
      <c r="B574" s="12"/>
    </row>
    <row r="575" spans="1:2" ht="16" thickBot="1" x14ac:dyDescent="0.4">
      <c r="A575" s="12"/>
      <c r="B575" s="12"/>
    </row>
    <row r="576" spans="1:2" ht="16" thickBot="1" x14ac:dyDescent="0.4">
      <c r="A576" s="12"/>
      <c r="B576" s="12"/>
    </row>
    <row r="577" spans="1:2" ht="16" thickBot="1" x14ac:dyDescent="0.4">
      <c r="A577" s="12"/>
      <c r="B577" s="12"/>
    </row>
    <row r="578" spans="1:2" ht="16" thickBot="1" x14ac:dyDescent="0.4">
      <c r="A578" s="12"/>
      <c r="B578" s="12"/>
    </row>
    <row r="579" spans="1:2" ht="16" thickBot="1" x14ac:dyDescent="0.4">
      <c r="A579" s="12"/>
      <c r="B579" s="12"/>
    </row>
    <row r="580" spans="1:2" ht="16" thickBot="1" x14ac:dyDescent="0.4">
      <c r="A580" s="12"/>
      <c r="B580" s="12"/>
    </row>
    <row r="581" spans="1:2" ht="16" thickBot="1" x14ac:dyDescent="0.4">
      <c r="A581" s="12"/>
      <c r="B581" s="12"/>
    </row>
    <row r="582" spans="1:2" ht="16" thickBot="1" x14ac:dyDescent="0.4">
      <c r="A582" s="12"/>
      <c r="B582" s="12"/>
    </row>
    <row r="583" spans="1:2" ht="16" thickBot="1" x14ac:dyDescent="0.4">
      <c r="A583" s="12"/>
      <c r="B583" s="12"/>
    </row>
    <row r="584" spans="1:2" ht="16" thickBot="1" x14ac:dyDescent="0.4">
      <c r="A584" s="12"/>
      <c r="B584" s="12"/>
    </row>
    <row r="585" spans="1:2" ht="16" thickBot="1" x14ac:dyDescent="0.4">
      <c r="A585" s="12"/>
      <c r="B585" s="12"/>
    </row>
    <row r="586" spans="1:2" ht="16" thickBot="1" x14ac:dyDescent="0.4">
      <c r="A586" s="12"/>
      <c r="B586" s="12"/>
    </row>
    <row r="587" spans="1:2" ht="16" thickBot="1" x14ac:dyDescent="0.4">
      <c r="A587" s="12"/>
      <c r="B587" s="12"/>
    </row>
    <row r="588" spans="1:2" ht="16" thickBot="1" x14ac:dyDescent="0.4">
      <c r="A588" s="12"/>
      <c r="B588" s="12"/>
    </row>
    <row r="589" spans="1:2" ht="16" thickBot="1" x14ac:dyDescent="0.4">
      <c r="A589" s="12"/>
      <c r="B589" s="12"/>
    </row>
    <row r="590" spans="1:2" ht="16" thickBot="1" x14ac:dyDescent="0.4">
      <c r="A590" s="12"/>
      <c r="B590" s="12"/>
    </row>
    <row r="591" spans="1:2" ht="16" thickBot="1" x14ac:dyDescent="0.4">
      <c r="A591" s="12"/>
      <c r="B591" s="12"/>
    </row>
    <row r="592" spans="1:2" ht="16" thickBot="1" x14ac:dyDescent="0.4">
      <c r="A592" s="12"/>
      <c r="B592" s="12"/>
    </row>
    <row r="593" spans="1:2" ht="16" thickBot="1" x14ac:dyDescent="0.4">
      <c r="A593" s="12"/>
      <c r="B593" s="12"/>
    </row>
    <row r="594" spans="1:2" ht="16" thickBot="1" x14ac:dyDescent="0.4">
      <c r="A594" s="12"/>
      <c r="B594" s="12"/>
    </row>
    <row r="595" spans="1:2" ht="16" thickBot="1" x14ac:dyDescent="0.4">
      <c r="A595" s="12"/>
      <c r="B595" s="12"/>
    </row>
    <row r="596" spans="1:2" ht="16" thickBot="1" x14ac:dyDescent="0.4">
      <c r="A596" s="12"/>
      <c r="B596" s="12"/>
    </row>
    <row r="597" spans="1:2" ht="16" thickBot="1" x14ac:dyDescent="0.4">
      <c r="A597" s="12"/>
      <c r="B597" s="12"/>
    </row>
    <row r="598" spans="1:2" ht="16" thickBot="1" x14ac:dyDescent="0.4">
      <c r="A598" s="12"/>
      <c r="B598" s="12"/>
    </row>
    <row r="599" spans="1:2" ht="16" thickBot="1" x14ac:dyDescent="0.4">
      <c r="A599" s="12"/>
      <c r="B599" s="12"/>
    </row>
    <row r="600" spans="1:2" ht="16" thickBot="1" x14ac:dyDescent="0.4">
      <c r="A600" s="12"/>
      <c r="B600" s="12"/>
    </row>
    <row r="601" spans="1:2" ht="16" thickBot="1" x14ac:dyDescent="0.4">
      <c r="A601" s="12"/>
      <c r="B601" s="12"/>
    </row>
    <row r="602" spans="1:2" ht="16" thickBot="1" x14ac:dyDescent="0.4">
      <c r="A602" s="12"/>
      <c r="B602" s="12"/>
    </row>
    <row r="603" spans="1:2" ht="16" thickBot="1" x14ac:dyDescent="0.4">
      <c r="A603" s="12"/>
      <c r="B603" s="12"/>
    </row>
    <row r="604" spans="1:2" ht="16" thickBot="1" x14ac:dyDescent="0.4">
      <c r="A604" s="12"/>
      <c r="B604" s="12"/>
    </row>
    <row r="605" spans="1:2" ht="16" thickBot="1" x14ac:dyDescent="0.4">
      <c r="A605" s="12"/>
      <c r="B605" s="12"/>
    </row>
    <row r="606" spans="1:2" ht="16" thickBot="1" x14ac:dyDescent="0.4">
      <c r="A606" s="12"/>
      <c r="B606" s="12"/>
    </row>
    <row r="607" spans="1:2" ht="16" thickBot="1" x14ac:dyDescent="0.4">
      <c r="A607" s="12"/>
      <c r="B607" s="12"/>
    </row>
    <row r="608" spans="1:2" ht="16" thickBot="1" x14ac:dyDescent="0.4">
      <c r="A608" s="12"/>
      <c r="B608" s="12"/>
    </row>
    <row r="609" spans="1:2" ht="16" thickBot="1" x14ac:dyDescent="0.4">
      <c r="A609" s="12"/>
      <c r="B609" s="12"/>
    </row>
    <row r="610" spans="1:2" ht="16" thickBot="1" x14ac:dyDescent="0.4">
      <c r="A610" s="12"/>
      <c r="B610" s="12"/>
    </row>
    <row r="611" spans="1:2" ht="16" thickBot="1" x14ac:dyDescent="0.4">
      <c r="A611" s="12"/>
      <c r="B611" s="12"/>
    </row>
    <row r="612" spans="1:2" ht="16" thickBot="1" x14ac:dyDescent="0.4">
      <c r="A612" s="12"/>
      <c r="B612" s="12"/>
    </row>
    <row r="613" spans="1:2" ht="16" thickBot="1" x14ac:dyDescent="0.4">
      <c r="A613" s="12"/>
      <c r="B613" s="12"/>
    </row>
    <row r="614" spans="1:2" ht="16" thickBot="1" x14ac:dyDescent="0.4">
      <c r="A614" s="12"/>
      <c r="B614" s="12"/>
    </row>
    <row r="615" spans="1:2" ht="16" thickBot="1" x14ac:dyDescent="0.4">
      <c r="A615" s="12"/>
      <c r="B615" s="12"/>
    </row>
    <row r="616" spans="1:2" ht="16" thickBot="1" x14ac:dyDescent="0.4">
      <c r="A616" s="12"/>
      <c r="B616" s="12"/>
    </row>
    <row r="617" spans="1:2" ht="16" thickBot="1" x14ac:dyDescent="0.4">
      <c r="A617" s="12"/>
      <c r="B617" s="12"/>
    </row>
    <row r="618" spans="1:2" ht="16" thickBot="1" x14ac:dyDescent="0.4">
      <c r="A618" s="12"/>
      <c r="B618" s="12"/>
    </row>
    <row r="619" spans="1:2" ht="16" thickBot="1" x14ac:dyDescent="0.4">
      <c r="A619" s="12"/>
      <c r="B619" s="12"/>
    </row>
    <row r="620" spans="1:2" ht="16" thickBot="1" x14ac:dyDescent="0.4">
      <c r="A620" s="12"/>
      <c r="B620" s="12"/>
    </row>
    <row r="621" spans="1:2" ht="16" thickBot="1" x14ac:dyDescent="0.4">
      <c r="A621" s="12"/>
      <c r="B621" s="12"/>
    </row>
    <row r="622" spans="1:2" ht="16" thickBot="1" x14ac:dyDescent="0.4">
      <c r="A622" s="12"/>
      <c r="B622" s="12"/>
    </row>
    <row r="623" spans="1:2" ht="16" thickBot="1" x14ac:dyDescent="0.4">
      <c r="A623" s="12"/>
      <c r="B623" s="12"/>
    </row>
    <row r="624" spans="1:2" ht="16" thickBot="1" x14ac:dyDescent="0.4">
      <c r="A624" s="12"/>
      <c r="B624" s="12"/>
    </row>
    <row r="625" spans="1:2" ht="16" thickBot="1" x14ac:dyDescent="0.4">
      <c r="A625" s="12"/>
      <c r="B625" s="12"/>
    </row>
    <row r="626" spans="1:2" ht="16" thickBot="1" x14ac:dyDescent="0.4">
      <c r="A626" s="12"/>
      <c r="B626" s="12"/>
    </row>
    <row r="627" spans="1:2" ht="16" thickBot="1" x14ac:dyDescent="0.4">
      <c r="A627" s="12"/>
      <c r="B627" s="12"/>
    </row>
    <row r="628" spans="1:2" ht="16" thickBot="1" x14ac:dyDescent="0.4">
      <c r="A628" s="12"/>
      <c r="B628" s="12"/>
    </row>
    <row r="629" spans="1:2" ht="16" thickBot="1" x14ac:dyDescent="0.4">
      <c r="A629" s="12"/>
      <c r="B629" s="12"/>
    </row>
    <row r="630" spans="1:2" ht="16" thickBot="1" x14ac:dyDescent="0.4">
      <c r="A630" s="12"/>
      <c r="B630" s="12"/>
    </row>
    <row r="631" spans="1:2" ht="16" thickBot="1" x14ac:dyDescent="0.4">
      <c r="A631" s="12"/>
      <c r="B631" s="12"/>
    </row>
    <row r="632" spans="1:2" ht="16" thickBot="1" x14ac:dyDescent="0.4">
      <c r="A632" s="12"/>
      <c r="B632" s="12"/>
    </row>
    <row r="633" spans="1:2" ht="16" thickBot="1" x14ac:dyDescent="0.4">
      <c r="A633" s="12"/>
      <c r="B633" s="12"/>
    </row>
    <row r="634" spans="1:2" ht="16" thickBot="1" x14ac:dyDescent="0.4">
      <c r="A634" s="12"/>
      <c r="B634" s="12"/>
    </row>
    <row r="635" spans="1:2" ht="16" thickBot="1" x14ac:dyDescent="0.4">
      <c r="A635" s="12"/>
      <c r="B635" s="12"/>
    </row>
    <row r="636" spans="1:2" ht="16" thickBot="1" x14ac:dyDescent="0.4">
      <c r="A636" s="12"/>
      <c r="B636" s="12"/>
    </row>
    <row r="637" spans="1:2" ht="16" thickBot="1" x14ac:dyDescent="0.4">
      <c r="A637" s="12"/>
      <c r="B637" s="12"/>
    </row>
    <row r="638" spans="1:2" ht="16" thickBot="1" x14ac:dyDescent="0.4">
      <c r="A638" s="12"/>
      <c r="B638" s="12"/>
    </row>
    <row r="639" spans="1:2" ht="16" thickBot="1" x14ac:dyDescent="0.4">
      <c r="A639" s="12"/>
      <c r="B639" s="12"/>
    </row>
    <row r="640" spans="1:2" ht="16" thickBot="1" x14ac:dyDescent="0.4">
      <c r="A640" s="12"/>
      <c r="B640" s="12"/>
    </row>
    <row r="641" spans="1:2" ht="16" thickBot="1" x14ac:dyDescent="0.4">
      <c r="A641" s="12"/>
      <c r="B641" s="12"/>
    </row>
    <row r="642" spans="1:2" ht="16" thickBot="1" x14ac:dyDescent="0.4">
      <c r="A642" s="12"/>
      <c r="B642" s="12"/>
    </row>
    <row r="643" spans="1:2" ht="16" thickBot="1" x14ac:dyDescent="0.4">
      <c r="A643" s="12"/>
      <c r="B643" s="12"/>
    </row>
    <row r="644" spans="1:2" ht="16" thickBot="1" x14ac:dyDescent="0.4">
      <c r="A644" s="12"/>
      <c r="B644" s="12"/>
    </row>
    <row r="645" spans="1:2" ht="16" thickBot="1" x14ac:dyDescent="0.4">
      <c r="A645" s="12"/>
      <c r="B645" s="12"/>
    </row>
    <row r="646" spans="1:2" ht="16" thickBot="1" x14ac:dyDescent="0.4">
      <c r="A646" s="12"/>
      <c r="B646" s="12"/>
    </row>
    <row r="647" spans="1:2" ht="16" thickBot="1" x14ac:dyDescent="0.4">
      <c r="A647" s="12"/>
      <c r="B647" s="12"/>
    </row>
    <row r="648" spans="1:2" ht="16" thickBot="1" x14ac:dyDescent="0.4">
      <c r="A648" s="12"/>
      <c r="B648" s="12"/>
    </row>
    <row r="649" spans="1:2" ht="16" thickBot="1" x14ac:dyDescent="0.4">
      <c r="A649" s="12"/>
      <c r="B649" s="12"/>
    </row>
    <row r="650" spans="1:2" ht="16" thickBot="1" x14ac:dyDescent="0.4">
      <c r="A650" s="12"/>
      <c r="B650" s="12"/>
    </row>
    <row r="651" spans="1:2" ht="16" thickBot="1" x14ac:dyDescent="0.4">
      <c r="A651" s="12"/>
      <c r="B651" s="12"/>
    </row>
    <row r="652" spans="1:2" ht="16" thickBot="1" x14ac:dyDescent="0.4">
      <c r="A652" s="12"/>
      <c r="B652" s="12"/>
    </row>
    <row r="653" spans="1:2" ht="16" thickBot="1" x14ac:dyDescent="0.4">
      <c r="A653" s="12"/>
      <c r="B653" s="12"/>
    </row>
    <row r="654" spans="1:2" ht="16" thickBot="1" x14ac:dyDescent="0.4">
      <c r="A654" s="12"/>
      <c r="B654" s="12"/>
    </row>
    <row r="655" spans="1:2" ht="16" thickBot="1" x14ac:dyDescent="0.4">
      <c r="A655" s="12"/>
      <c r="B655" s="12"/>
    </row>
    <row r="656" spans="1:2" ht="16" thickBot="1" x14ac:dyDescent="0.4">
      <c r="A656" s="12"/>
      <c r="B656" s="12"/>
    </row>
    <row r="657" spans="1:2" ht="16" thickBot="1" x14ac:dyDescent="0.4">
      <c r="A657" s="12"/>
      <c r="B657" s="12"/>
    </row>
    <row r="658" spans="1:2" ht="16" thickBot="1" x14ac:dyDescent="0.4">
      <c r="A658" s="12"/>
      <c r="B658" s="12"/>
    </row>
    <row r="659" spans="1:2" ht="16" thickBot="1" x14ac:dyDescent="0.4">
      <c r="A659" s="12"/>
      <c r="B659" s="12"/>
    </row>
    <row r="660" spans="1:2" ht="16" thickBot="1" x14ac:dyDescent="0.4">
      <c r="A660" s="12"/>
      <c r="B660" s="12"/>
    </row>
    <row r="661" spans="1:2" ht="16" thickBot="1" x14ac:dyDescent="0.4">
      <c r="A661" s="12"/>
      <c r="B661" s="12"/>
    </row>
    <row r="662" spans="1:2" ht="16" thickBot="1" x14ac:dyDescent="0.4">
      <c r="A662" s="12"/>
      <c r="B662" s="12"/>
    </row>
    <row r="663" spans="1:2" ht="16" thickBot="1" x14ac:dyDescent="0.4">
      <c r="A663" s="12"/>
      <c r="B663" s="12"/>
    </row>
    <row r="664" spans="1:2" ht="16" thickBot="1" x14ac:dyDescent="0.4">
      <c r="A664" s="12"/>
      <c r="B664" s="12"/>
    </row>
    <row r="665" spans="1:2" ht="16" thickBot="1" x14ac:dyDescent="0.4">
      <c r="A665" s="12"/>
      <c r="B665" s="12"/>
    </row>
    <row r="666" spans="1:2" ht="16" thickBot="1" x14ac:dyDescent="0.4">
      <c r="A666" s="12"/>
      <c r="B666" s="12"/>
    </row>
    <row r="667" spans="1:2" ht="16" thickBot="1" x14ac:dyDescent="0.4">
      <c r="A667" s="12"/>
      <c r="B667" s="12"/>
    </row>
    <row r="668" spans="1:2" ht="16" thickBot="1" x14ac:dyDescent="0.4">
      <c r="A668" s="12"/>
      <c r="B668" s="12"/>
    </row>
    <row r="669" spans="1:2" ht="16" thickBot="1" x14ac:dyDescent="0.4">
      <c r="A669" s="12"/>
      <c r="B669" s="12"/>
    </row>
    <row r="670" spans="1:2" ht="16" thickBot="1" x14ac:dyDescent="0.4">
      <c r="A670" s="12"/>
      <c r="B670" s="12"/>
    </row>
    <row r="671" spans="1:2" ht="16" thickBot="1" x14ac:dyDescent="0.4">
      <c r="A671" s="12"/>
      <c r="B671" s="12"/>
    </row>
    <row r="672" spans="1:2" ht="16" thickBot="1" x14ac:dyDescent="0.4">
      <c r="A672" s="12"/>
      <c r="B672" s="12"/>
    </row>
    <row r="673" spans="1:2" ht="16" thickBot="1" x14ac:dyDescent="0.4">
      <c r="A673" s="12"/>
      <c r="B673" s="12"/>
    </row>
    <row r="674" spans="1:2" ht="16" thickBot="1" x14ac:dyDescent="0.4">
      <c r="A674" s="12"/>
      <c r="B674" s="12"/>
    </row>
    <row r="675" spans="1:2" ht="16" thickBot="1" x14ac:dyDescent="0.4">
      <c r="A675" s="12"/>
      <c r="B675" s="12"/>
    </row>
    <row r="676" spans="1:2" ht="16" thickBot="1" x14ac:dyDescent="0.4">
      <c r="A676" s="12"/>
      <c r="B676" s="12"/>
    </row>
    <row r="677" spans="1:2" ht="16" thickBot="1" x14ac:dyDescent="0.4">
      <c r="A677" s="12"/>
      <c r="B677" s="12"/>
    </row>
    <row r="678" spans="1:2" ht="16" thickBot="1" x14ac:dyDescent="0.4">
      <c r="A678" s="12"/>
      <c r="B678" s="12"/>
    </row>
    <row r="679" spans="1:2" ht="16" thickBot="1" x14ac:dyDescent="0.4">
      <c r="A679" s="12"/>
      <c r="B679" s="12"/>
    </row>
    <row r="680" spans="1:2" ht="16" thickBot="1" x14ac:dyDescent="0.4">
      <c r="A680" s="12"/>
      <c r="B680" s="12"/>
    </row>
    <row r="681" spans="1:2" ht="16" thickBot="1" x14ac:dyDescent="0.4">
      <c r="A681" s="12"/>
      <c r="B681" s="12"/>
    </row>
    <row r="682" spans="1:2" ht="16" thickBot="1" x14ac:dyDescent="0.4">
      <c r="A682" s="12"/>
      <c r="B682" s="12"/>
    </row>
    <row r="683" spans="1:2" ht="16" thickBot="1" x14ac:dyDescent="0.4">
      <c r="A683" s="12"/>
      <c r="B683" s="12"/>
    </row>
    <row r="684" spans="1:2" ht="16" thickBot="1" x14ac:dyDescent="0.4">
      <c r="A684" s="12"/>
      <c r="B684" s="12"/>
    </row>
    <row r="685" spans="1:2" ht="16" thickBot="1" x14ac:dyDescent="0.4">
      <c r="A685" s="12"/>
      <c r="B685" s="12"/>
    </row>
    <row r="686" spans="1:2" ht="16" thickBot="1" x14ac:dyDescent="0.4">
      <c r="A686" s="12"/>
      <c r="B686" s="12"/>
    </row>
    <row r="687" spans="1:2" ht="16" thickBot="1" x14ac:dyDescent="0.4">
      <c r="A687" s="12"/>
      <c r="B687" s="12"/>
    </row>
    <row r="688" spans="1:2" ht="16" thickBot="1" x14ac:dyDescent="0.4">
      <c r="A688" s="12"/>
      <c r="B688" s="12"/>
    </row>
    <row r="689" spans="1:2" ht="16" thickBot="1" x14ac:dyDescent="0.4">
      <c r="A689" s="12"/>
      <c r="B689" s="12"/>
    </row>
    <row r="690" spans="1:2" ht="16" thickBot="1" x14ac:dyDescent="0.4">
      <c r="A690" s="12"/>
      <c r="B690" s="12"/>
    </row>
    <row r="691" spans="1:2" ht="16" thickBot="1" x14ac:dyDescent="0.4">
      <c r="A691" s="12"/>
      <c r="B691" s="12"/>
    </row>
    <row r="692" spans="1:2" ht="16" thickBot="1" x14ac:dyDescent="0.4">
      <c r="A692" s="12"/>
      <c r="B692" s="12"/>
    </row>
    <row r="693" spans="1:2" ht="16" thickBot="1" x14ac:dyDescent="0.4">
      <c r="A693" s="12"/>
      <c r="B693" s="12"/>
    </row>
    <row r="694" spans="1:2" ht="16" thickBot="1" x14ac:dyDescent="0.4">
      <c r="A694" s="12"/>
      <c r="B694" s="12"/>
    </row>
    <row r="695" spans="1:2" ht="16" thickBot="1" x14ac:dyDescent="0.4">
      <c r="A695" s="12"/>
      <c r="B695" s="12"/>
    </row>
    <row r="696" spans="1:2" ht="16" thickBot="1" x14ac:dyDescent="0.4">
      <c r="A696" s="12"/>
      <c r="B696" s="12"/>
    </row>
    <row r="697" spans="1:2" ht="16" thickBot="1" x14ac:dyDescent="0.4">
      <c r="A697" s="12"/>
      <c r="B697" s="12"/>
    </row>
    <row r="698" spans="1:2" ht="16" thickBot="1" x14ac:dyDescent="0.4">
      <c r="A698" s="12"/>
      <c r="B698" s="12"/>
    </row>
    <row r="699" spans="1:2" ht="16" thickBot="1" x14ac:dyDescent="0.4">
      <c r="A699" s="12"/>
      <c r="B699" s="12"/>
    </row>
    <row r="700" spans="1:2" ht="16" thickBot="1" x14ac:dyDescent="0.4">
      <c r="A700" s="12"/>
      <c r="B700" s="12"/>
    </row>
    <row r="701" spans="1:2" ht="16" thickBot="1" x14ac:dyDescent="0.4">
      <c r="A701" s="12"/>
      <c r="B701" s="12"/>
    </row>
    <row r="702" spans="1:2" ht="16" thickBot="1" x14ac:dyDescent="0.4">
      <c r="A702" s="12"/>
      <c r="B702" s="12"/>
    </row>
    <row r="703" spans="1:2" ht="16" thickBot="1" x14ac:dyDescent="0.4">
      <c r="A703" s="12"/>
      <c r="B703" s="12"/>
    </row>
  </sheetData>
  <autoFilter ref="A1:B492" xr:uid="{00000000-0009-0000-0000-000000000000}">
    <sortState xmlns:xlrd2="http://schemas.microsoft.com/office/spreadsheetml/2017/richdata2" ref="A2:B520">
      <sortCondition ref="A1:A492"/>
    </sortState>
  </autoFilter>
  <sortState xmlns:xlrd2="http://schemas.microsoft.com/office/spreadsheetml/2017/richdata2" ref="A2:B703">
    <sortCondition ref="A7:A703"/>
  </sortState>
  <mergeCells count="2">
    <mergeCell ref="D1:H1"/>
    <mergeCell ref="D5:H5"/>
  </mergeCells>
  <conditionalFormatting sqref="D7:H7">
    <cfRule type="expression" dxfId="1" priority="2">
      <formula>$E$3="Selección"</formula>
    </cfRule>
  </conditionalFormatting>
  <conditionalFormatting sqref="E7">
    <cfRule type="expression" dxfId="0" priority="1">
      <formula>$E$3="Selección"</formula>
    </cfRule>
  </conditionalFormatting>
  <dataValidations count="1">
    <dataValidation type="list" allowBlank="1" showInputMessage="1" showErrorMessage="1" sqref="D3" xr:uid="{00000000-0002-0000-0000-000000000000}">
      <formula1>$A$2:$A$703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'LISTAS Y RANGOS'!$A$3:$A$5</xm:f>
          </x14:formula1>
          <xm:sqref>E7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O20"/>
  <sheetViews>
    <sheetView zoomScale="85" zoomScaleNormal="85" workbookViewId="0">
      <selection activeCell="D3" sqref="D3:K3"/>
    </sheetView>
  </sheetViews>
  <sheetFormatPr baseColWidth="10" defaultColWidth="11.453125" defaultRowHeight="14.5" x14ac:dyDescent="0.35"/>
  <cols>
    <col min="1" max="1" width="9.81640625" customWidth="1"/>
    <col min="2" max="2" width="11.7265625" customWidth="1"/>
    <col min="3" max="3" width="12" customWidth="1"/>
    <col min="4" max="8" width="12.54296875" bestFit="1" customWidth="1"/>
    <col min="9" max="10" width="14" bestFit="1" customWidth="1"/>
    <col min="11" max="11" width="13.7265625" customWidth="1"/>
    <col min="12" max="12" width="7.81640625" bestFit="1" customWidth="1"/>
    <col min="13" max="13" width="13.81640625" bestFit="1" customWidth="1"/>
    <col min="14" max="14" width="13.26953125" customWidth="1"/>
    <col min="15" max="15" width="15.7265625" customWidth="1"/>
    <col min="22" max="22" width="13" customWidth="1"/>
    <col min="23" max="23" width="11.81640625" customWidth="1"/>
    <col min="24" max="24" width="13.26953125" customWidth="1"/>
  </cols>
  <sheetData>
    <row r="1" spans="1:15" ht="23.25" customHeight="1" x14ac:dyDescent="0.35">
      <c r="B1" s="86" t="s">
        <v>539</v>
      </c>
      <c r="C1" s="86"/>
      <c r="D1" s="86"/>
      <c r="E1" s="86"/>
      <c r="F1" s="86"/>
      <c r="G1" s="86"/>
      <c r="H1" s="86"/>
      <c r="I1" s="86"/>
      <c r="J1" s="86"/>
      <c r="K1" s="86"/>
    </row>
    <row r="2" spans="1:15" x14ac:dyDescent="0.35">
      <c r="B2" s="87" t="s">
        <v>540</v>
      </c>
      <c r="C2" s="87"/>
      <c r="D2" s="87"/>
      <c r="E2" s="87"/>
      <c r="F2" s="87"/>
      <c r="G2" s="87"/>
      <c r="H2" s="87"/>
      <c r="I2" s="87"/>
      <c r="J2" s="87"/>
      <c r="K2" s="87"/>
    </row>
    <row r="3" spans="1:15" x14ac:dyDescent="0.35">
      <c r="A3" t="s">
        <v>541</v>
      </c>
      <c r="B3" s="4">
        <v>0.15</v>
      </c>
      <c r="C3" s="4">
        <v>0.2</v>
      </c>
      <c r="D3" s="4">
        <v>0.25</v>
      </c>
      <c r="E3" s="4">
        <v>0.3</v>
      </c>
      <c r="F3" s="4">
        <v>0.35</v>
      </c>
      <c r="G3" s="4">
        <v>0.4</v>
      </c>
      <c r="H3" s="4">
        <v>0.45</v>
      </c>
      <c r="I3" s="4">
        <v>0.5</v>
      </c>
      <c r="J3" s="4">
        <v>0.55000000000000004</v>
      </c>
      <c r="K3" s="4">
        <v>0.6</v>
      </c>
      <c r="L3" s="6" t="s">
        <v>542</v>
      </c>
    </row>
    <row r="4" spans="1:15" x14ac:dyDescent="0.35">
      <c r="A4" t="s">
        <v>543</v>
      </c>
      <c r="B4" s="5">
        <v>0.45</v>
      </c>
      <c r="C4" s="5">
        <v>0.6</v>
      </c>
      <c r="D4" s="5">
        <v>0.8</v>
      </c>
      <c r="E4" s="5">
        <v>1</v>
      </c>
      <c r="F4" s="5">
        <v>1.1499999999999999</v>
      </c>
      <c r="G4" s="5">
        <v>1.3</v>
      </c>
      <c r="H4" s="5">
        <v>1.4</v>
      </c>
      <c r="I4" s="5">
        <v>1.55</v>
      </c>
      <c r="J4" s="5">
        <v>1.7</v>
      </c>
      <c r="K4" s="5">
        <v>1.85</v>
      </c>
      <c r="L4" s="6" t="s">
        <v>544</v>
      </c>
    </row>
    <row r="5" spans="1:15" x14ac:dyDescent="0.35">
      <c r="A5" s="83" t="s">
        <v>545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5" x14ac:dyDescent="0.35">
      <c r="A6" s="9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M6" s="82" t="s">
        <v>2</v>
      </c>
      <c r="N6" s="82"/>
      <c r="O6" s="82"/>
    </row>
    <row r="7" spans="1:15" x14ac:dyDescent="0.35">
      <c r="A7" s="9">
        <v>2</v>
      </c>
      <c r="B7" s="7"/>
      <c r="C7" s="7"/>
      <c r="D7" s="7">
        <v>22360</v>
      </c>
      <c r="E7" s="7"/>
      <c r="F7" s="7"/>
      <c r="G7" s="7"/>
      <c r="H7" s="7"/>
      <c r="I7" s="7"/>
      <c r="J7" s="7"/>
      <c r="K7" s="7"/>
      <c r="M7" s="2"/>
      <c r="N7" s="13" t="s">
        <v>546</v>
      </c>
      <c r="O7" s="13" t="s">
        <v>547</v>
      </c>
    </row>
    <row r="8" spans="1:15" x14ac:dyDescent="0.35">
      <c r="A8" s="9">
        <v>3</v>
      </c>
      <c r="B8" s="7"/>
      <c r="C8" s="7">
        <v>17920</v>
      </c>
      <c r="D8" s="7">
        <v>33720</v>
      </c>
      <c r="E8" s="7">
        <v>51240</v>
      </c>
      <c r="F8" s="7"/>
      <c r="G8" s="7"/>
      <c r="H8" s="7"/>
      <c r="I8" s="7"/>
      <c r="J8" s="7"/>
      <c r="K8" s="7"/>
      <c r="M8" s="2" t="s">
        <v>548</v>
      </c>
      <c r="N8" s="2">
        <f>'LISTAS Y RANGOS'!J3</f>
        <v>1.55</v>
      </c>
      <c r="O8" s="2">
        <f>'LISTAS Y RANGOS'!J6</f>
        <v>20</v>
      </c>
    </row>
    <row r="9" spans="1:15" x14ac:dyDescent="0.35">
      <c r="A9" s="9">
        <v>4</v>
      </c>
      <c r="B9" s="7"/>
      <c r="C9" s="7">
        <v>26000</v>
      </c>
      <c r="D9" s="7">
        <v>45120</v>
      </c>
      <c r="E9" s="7">
        <v>68480</v>
      </c>
      <c r="F9" s="7">
        <v>96120</v>
      </c>
      <c r="G9" s="7"/>
      <c r="H9" s="7"/>
      <c r="I9" s="7"/>
      <c r="J9" s="7"/>
      <c r="K9" s="7"/>
      <c r="M9" s="2" t="s">
        <v>549</v>
      </c>
      <c r="N9" s="2">
        <f>MATCH(N8,$B$4:$K$4,0)</f>
        <v>8</v>
      </c>
      <c r="O9" s="2">
        <f>MATCH(O8,$A$6:$A$20,0)</f>
        <v>15</v>
      </c>
    </row>
    <row r="10" spans="1:15" x14ac:dyDescent="0.35">
      <c r="A10" s="9">
        <v>5</v>
      </c>
      <c r="B10" s="7"/>
      <c r="C10" s="7">
        <v>32560</v>
      </c>
      <c r="D10" s="7">
        <v>56480</v>
      </c>
      <c r="E10" s="7">
        <v>85680</v>
      </c>
      <c r="F10" s="7">
        <v>120200</v>
      </c>
      <c r="G10" s="7">
        <v>160040</v>
      </c>
      <c r="H10" s="7"/>
      <c r="I10" s="7"/>
      <c r="J10" s="7"/>
      <c r="K10" s="7"/>
    </row>
    <row r="11" spans="1:15" x14ac:dyDescent="0.35">
      <c r="A11" s="9">
        <v>6</v>
      </c>
      <c r="B11" s="7">
        <v>17720</v>
      </c>
      <c r="C11" s="7">
        <v>39200</v>
      </c>
      <c r="D11" s="7">
        <v>66840</v>
      </c>
      <c r="E11" s="7">
        <v>100640</v>
      </c>
      <c r="F11" s="7">
        <v>140560</v>
      </c>
      <c r="G11" s="7">
        <v>186600</v>
      </c>
      <c r="H11" s="7">
        <v>238840</v>
      </c>
      <c r="I11" s="7"/>
      <c r="J11" s="7"/>
      <c r="K11" s="7"/>
      <c r="M11" s="2" t="s">
        <v>550</v>
      </c>
      <c r="N11" s="17">
        <f>INDEX(B6:K20,O9,N9)</f>
        <v>1052360</v>
      </c>
    </row>
    <row r="12" spans="1:15" x14ac:dyDescent="0.35">
      <c r="A12" s="9">
        <v>7</v>
      </c>
      <c r="B12" s="7">
        <v>23560</v>
      </c>
      <c r="C12" s="7">
        <v>49560</v>
      </c>
      <c r="D12" s="7">
        <v>83040</v>
      </c>
      <c r="E12" s="7">
        <v>123920</v>
      </c>
      <c r="F12" s="7">
        <v>172240</v>
      </c>
      <c r="G12" s="7">
        <v>228040</v>
      </c>
      <c r="H12" s="7">
        <v>291240</v>
      </c>
      <c r="I12" s="7">
        <v>361880</v>
      </c>
      <c r="J12" s="7"/>
      <c r="K12" s="7"/>
    </row>
    <row r="13" spans="1:15" x14ac:dyDescent="0.35">
      <c r="A13" s="9">
        <v>8</v>
      </c>
      <c r="B13" s="7">
        <v>28320</v>
      </c>
      <c r="C13" s="7">
        <v>58080</v>
      </c>
      <c r="D13" s="7">
        <v>96320</v>
      </c>
      <c r="E13" s="7">
        <v>143040</v>
      </c>
      <c r="F13" s="7">
        <v>198280</v>
      </c>
      <c r="G13" s="7">
        <v>262000</v>
      </c>
      <c r="H13" s="7">
        <v>334240</v>
      </c>
      <c r="I13" s="7">
        <v>415000</v>
      </c>
      <c r="J13" s="7">
        <v>504200</v>
      </c>
      <c r="K13" s="7"/>
      <c r="M13" s="82" t="s">
        <v>18</v>
      </c>
      <c r="N13" s="82"/>
      <c r="O13" s="82"/>
    </row>
    <row r="14" spans="1:15" x14ac:dyDescent="0.35">
      <c r="A14" s="9">
        <v>9</v>
      </c>
      <c r="B14" s="7">
        <v>33120</v>
      </c>
      <c r="C14" s="7">
        <v>66560</v>
      </c>
      <c r="D14" s="7">
        <v>109600</v>
      </c>
      <c r="E14" s="7">
        <v>162160</v>
      </c>
      <c r="F14" s="7">
        <v>224320</v>
      </c>
      <c r="G14" s="7">
        <v>296000</v>
      </c>
      <c r="H14" s="7">
        <v>377280</v>
      </c>
      <c r="I14" s="7">
        <v>468080</v>
      </c>
      <c r="J14" s="7">
        <v>568480</v>
      </c>
      <c r="K14" s="7">
        <v>678440</v>
      </c>
      <c r="M14" s="2"/>
      <c r="N14" s="13" t="s">
        <v>546</v>
      </c>
      <c r="O14" s="13" t="s">
        <v>547</v>
      </c>
    </row>
    <row r="15" spans="1:15" x14ac:dyDescent="0.35">
      <c r="A15" s="9">
        <v>10</v>
      </c>
      <c r="B15" s="7">
        <v>37880</v>
      </c>
      <c r="C15" s="7">
        <v>74960</v>
      </c>
      <c r="D15" s="7">
        <v>122880</v>
      </c>
      <c r="E15" s="7">
        <v>181280</v>
      </c>
      <c r="F15" s="7">
        <v>250320</v>
      </c>
      <c r="G15" s="7">
        <v>330000</v>
      </c>
      <c r="H15" s="7">
        <v>420280</v>
      </c>
      <c r="I15" s="7">
        <v>521200</v>
      </c>
      <c r="J15" s="7">
        <v>632760</v>
      </c>
      <c r="K15" s="7">
        <v>754920</v>
      </c>
      <c r="M15" s="2" t="s">
        <v>548</v>
      </c>
      <c r="N15" s="2">
        <f>'LISTAS Y RANGOS'!J11</f>
        <v>1.4</v>
      </c>
      <c r="O15" s="2">
        <f>'LISTAS Y RANGOS'!J14</f>
        <v>6</v>
      </c>
    </row>
    <row r="16" spans="1:15" x14ac:dyDescent="0.35">
      <c r="A16" s="9">
        <v>12</v>
      </c>
      <c r="B16" s="7">
        <v>45360</v>
      </c>
      <c r="C16" s="7">
        <v>88360</v>
      </c>
      <c r="D16" s="7">
        <v>143640</v>
      </c>
      <c r="E16" s="7">
        <v>211200</v>
      </c>
      <c r="F16" s="7">
        <v>291040</v>
      </c>
      <c r="G16" s="7">
        <v>383160</v>
      </c>
      <c r="H16" s="7">
        <v>487560</v>
      </c>
      <c r="I16" s="7">
        <v>604280</v>
      </c>
      <c r="J16" s="7">
        <v>733240</v>
      </c>
      <c r="K16" s="7">
        <v>874520</v>
      </c>
      <c r="M16" s="2" t="s">
        <v>549</v>
      </c>
      <c r="N16" s="2">
        <f>MATCH(N15,$B$4:$K$4,0)</f>
        <v>7</v>
      </c>
      <c r="O16" s="2">
        <f>MATCH(O15,$A$6:$A$20,0)</f>
        <v>6</v>
      </c>
    </row>
    <row r="17" spans="1:14" x14ac:dyDescent="0.35">
      <c r="A17" s="9">
        <v>14</v>
      </c>
      <c r="B17" s="7">
        <v>57000</v>
      </c>
      <c r="C17" s="7">
        <v>109040</v>
      </c>
      <c r="D17" s="7">
        <v>175960</v>
      </c>
      <c r="E17" s="7">
        <v>257760</v>
      </c>
      <c r="F17" s="7">
        <v>354440</v>
      </c>
      <c r="G17" s="7">
        <v>465960</v>
      </c>
      <c r="H17" s="7">
        <v>592400</v>
      </c>
      <c r="I17" s="7">
        <v>733680</v>
      </c>
      <c r="J17" s="7">
        <v>889800</v>
      </c>
      <c r="K17" s="7">
        <v>1060840</v>
      </c>
    </row>
    <row r="18" spans="1:14" x14ac:dyDescent="0.35">
      <c r="A18" s="9">
        <v>16</v>
      </c>
      <c r="B18" s="7">
        <v>66560</v>
      </c>
      <c r="C18" s="7">
        <v>126040</v>
      </c>
      <c r="D18" s="7">
        <v>202520</v>
      </c>
      <c r="E18" s="7">
        <v>296000</v>
      </c>
      <c r="F18" s="7">
        <v>406480</v>
      </c>
      <c r="G18" s="7">
        <v>533960</v>
      </c>
      <c r="H18" s="7">
        <v>678440</v>
      </c>
      <c r="I18" s="7">
        <v>839880</v>
      </c>
      <c r="J18" s="7">
        <v>1018360</v>
      </c>
      <c r="K18" s="7">
        <v>1213800</v>
      </c>
      <c r="M18" s="2" t="s">
        <v>550</v>
      </c>
      <c r="N18" s="17">
        <f>INDEX(B6:K20,O16,N16)</f>
        <v>238840</v>
      </c>
    </row>
    <row r="19" spans="1:14" x14ac:dyDescent="0.35">
      <c r="A19" s="9">
        <v>18</v>
      </c>
      <c r="B19" s="7">
        <v>76120</v>
      </c>
      <c r="C19" s="7">
        <v>143040</v>
      </c>
      <c r="D19" s="7">
        <v>229080</v>
      </c>
      <c r="E19" s="7">
        <v>334240</v>
      </c>
      <c r="F19" s="7">
        <v>458520</v>
      </c>
      <c r="G19" s="7">
        <v>601960</v>
      </c>
      <c r="H19" s="7">
        <v>764480</v>
      </c>
      <c r="I19" s="7">
        <v>946120</v>
      </c>
      <c r="J19" s="7">
        <v>1146880</v>
      </c>
      <c r="K19" s="7">
        <v>1366760</v>
      </c>
    </row>
    <row r="20" spans="1:14" x14ac:dyDescent="0.35">
      <c r="A20" s="9">
        <v>20</v>
      </c>
      <c r="B20" s="7">
        <v>85680</v>
      </c>
      <c r="C20" s="7">
        <v>160040</v>
      </c>
      <c r="D20" s="7">
        <v>255640</v>
      </c>
      <c r="E20" s="7">
        <v>372480</v>
      </c>
      <c r="F20" s="7">
        <v>510600</v>
      </c>
      <c r="G20" s="7">
        <v>669920</v>
      </c>
      <c r="H20" s="7">
        <v>850520</v>
      </c>
      <c r="I20" s="7">
        <v>1052360</v>
      </c>
      <c r="J20" s="7">
        <v>1275400</v>
      </c>
      <c r="K20" s="7">
        <v>1519720</v>
      </c>
    </row>
  </sheetData>
  <mergeCells count="5">
    <mergeCell ref="M6:O6"/>
    <mergeCell ref="M13:O13"/>
    <mergeCell ref="A5:K5"/>
    <mergeCell ref="B1:K1"/>
    <mergeCell ref="B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R20"/>
  <sheetViews>
    <sheetView zoomScale="85" zoomScaleNormal="85" workbookViewId="0">
      <selection activeCell="D3" sqref="D3:K3"/>
    </sheetView>
  </sheetViews>
  <sheetFormatPr baseColWidth="10" defaultColWidth="11.453125" defaultRowHeight="14.5" x14ac:dyDescent="0.35"/>
  <cols>
    <col min="1" max="1" width="4.7265625" customWidth="1"/>
    <col min="2" max="2" width="12" customWidth="1"/>
    <col min="13" max="13" width="14" customWidth="1"/>
  </cols>
  <sheetData>
    <row r="1" spans="1:18" ht="23.25" customHeight="1" x14ac:dyDescent="0.35">
      <c r="B1" s="86" t="s">
        <v>551</v>
      </c>
      <c r="C1" s="86"/>
      <c r="D1" s="86"/>
      <c r="E1" s="86"/>
      <c r="F1" s="86"/>
      <c r="G1" s="86"/>
      <c r="H1" s="86"/>
      <c r="I1" s="86"/>
      <c r="J1" s="86"/>
      <c r="K1" s="2"/>
    </row>
    <row r="2" spans="1:18" x14ac:dyDescent="0.35">
      <c r="B2" s="87" t="s">
        <v>541</v>
      </c>
      <c r="C2" s="87"/>
      <c r="D2" s="87"/>
      <c r="E2" s="87"/>
      <c r="F2" s="87"/>
      <c r="G2" s="87"/>
      <c r="H2" s="87"/>
      <c r="I2" s="87"/>
      <c r="J2" s="87"/>
      <c r="K2" s="2"/>
    </row>
    <row r="3" spans="1:18" x14ac:dyDescent="0.35">
      <c r="A3" t="s">
        <v>541</v>
      </c>
      <c r="B3" s="4">
        <v>0.2</v>
      </c>
      <c r="C3" s="4">
        <v>0.25</v>
      </c>
      <c r="D3" s="4">
        <v>0.3</v>
      </c>
      <c r="E3" s="4">
        <v>0.35</v>
      </c>
      <c r="F3" s="4">
        <v>0.4</v>
      </c>
      <c r="G3" s="4">
        <v>0.45</v>
      </c>
      <c r="H3" s="4">
        <v>0.5</v>
      </c>
      <c r="I3" s="4">
        <v>0.55000000000000004</v>
      </c>
      <c r="J3" s="4">
        <v>0.6</v>
      </c>
      <c r="K3" s="11" t="s">
        <v>542</v>
      </c>
    </row>
    <row r="4" spans="1:18" x14ac:dyDescent="0.35">
      <c r="A4" t="s">
        <v>543</v>
      </c>
      <c r="B4" s="5">
        <v>0.6</v>
      </c>
      <c r="C4" s="5">
        <v>0.8</v>
      </c>
      <c r="D4" s="5">
        <v>1</v>
      </c>
      <c r="E4" s="5">
        <v>1.1499999999999999</v>
      </c>
      <c r="F4" s="5">
        <v>1.3</v>
      </c>
      <c r="G4" s="5">
        <v>1.4</v>
      </c>
      <c r="H4" s="5">
        <v>1.55</v>
      </c>
      <c r="I4" s="5">
        <v>1.7</v>
      </c>
      <c r="J4" s="5">
        <v>1.85</v>
      </c>
      <c r="K4" s="11" t="s">
        <v>544</v>
      </c>
      <c r="R4" s="1"/>
    </row>
    <row r="5" spans="1:18" ht="23.25" customHeight="1" x14ac:dyDescent="0.35">
      <c r="A5" s="83" t="s">
        <v>545</v>
      </c>
      <c r="B5" s="88"/>
      <c r="C5" s="88"/>
      <c r="D5" s="88"/>
      <c r="E5" s="88"/>
      <c r="F5" s="88"/>
      <c r="G5" s="88"/>
      <c r="H5" s="88"/>
      <c r="I5" s="88"/>
      <c r="J5" s="89"/>
      <c r="K5" s="2"/>
    </row>
    <row r="6" spans="1:18" x14ac:dyDescent="0.35">
      <c r="A6" s="8">
        <v>1</v>
      </c>
      <c r="B6" s="7"/>
      <c r="C6" s="7"/>
      <c r="D6" s="7"/>
      <c r="E6" s="7"/>
      <c r="F6" s="7"/>
      <c r="G6" s="7"/>
      <c r="H6" s="7"/>
      <c r="I6" s="7"/>
      <c r="J6" s="7"/>
      <c r="K6" s="2"/>
    </row>
    <row r="7" spans="1:18" x14ac:dyDescent="0.35">
      <c r="A7" s="8">
        <v>2</v>
      </c>
      <c r="B7" s="10"/>
      <c r="C7" s="10"/>
      <c r="D7" s="10"/>
      <c r="E7" s="10"/>
      <c r="F7" s="10"/>
      <c r="G7" s="10"/>
      <c r="H7" s="10"/>
      <c r="I7" s="10"/>
      <c r="J7" s="10"/>
      <c r="L7" s="2"/>
      <c r="M7" s="13" t="s">
        <v>546</v>
      </c>
      <c r="N7" s="13" t="s">
        <v>547</v>
      </c>
    </row>
    <row r="8" spans="1:18" x14ac:dyDescent="0.35">
      <c r="A8" s="8">
        <v>3</v>
      </c>
      <c r="B8" s="7"/>
      <c r="C8" s="7">
        <v>18800</v>
      </c>
      <c r="D8" s="7">
        <v>29680</v>
      </c>
      <c r="E8" s="7"/>
      <c r="F8" s="7"/>
      <c r="G8" s="7"/>
      <c r="H8" s="7"/>
      <c r="I8" s="7"/>
      <c r="J8" s="7"/>
      <c r="L8" s="2" t="s">
        <v>548</v>
      </c>
      <c r="M8" s="2">
        <f>'LISTAS Y RANGOS'!J3</f>
        <v>1.55</v>
      </c>
      <c r="N8" s="2">
        <f>'LISTAS Y RANGOS'!J6</f>
        <v>20</v>
      </c>
    </row>
    <row r="9" spans="1:18" x14ac:dyDescent="0.35">
      <c r="A9" s="8">
        <v>4</v>
      </c>
      <c r="B9" s="7"/>
      <c r="C9" s="7">
        <v>25120</v>
      </c>
      <c r="D9" s="7">
        <v>39640</v>
      </c>
      <c r="E9" s="7">
        <v>56760</v>
      </c>
      <c r="F9" s="7"/>
      <c r="G9" s="7"/>
      <c r="H9" s="7"/>
      <c r="I9" s="7"/>
      <c r="J9" s="7"/>
      <c r="L9" s="2" t="s">
        <v>549</v>
      </c>
      <c r="M9" s="2">
        <f>MATCH(M8,$B$4:$K$4,0)</f>
        <v>7</v>
      </c>
      <c r="N9" s="2">
        <f>MATCH(N8,$A$6:$A$20,0)</f>
        <v>15</v>
      </c>
    </row>
    <row r="10" spans="1:18" x14ac:dyDescent="0.35">
      <c r="A10" s="8">
        <v>5</v>
      </c>
      <c r="B10" s="7">
        <v>16640</v>
      </c>
      <c r="C10" s="7">
        <v>31480</v>
      </c>
      <c r="D10" s="7">
        <v>49600</v>
      </c>
      <c r="E10" s="7">
        <v>71040</v>
      </c>
      <c r="F10" s="7">
        <v>95800</v>
      </c>
      <c r="G10" s="7"/>
      <c r="H10" s="7"/>
      <c r="I10" s="7"/>
      <c r="J10" s="7"/>
    </row>
    <row r="11" spans="1:18" x14ac:dyDescent="0.35">
      <c r="A11" s="8">
        <v>6</v>
      </c>
      <c r="B11" s="7">
        <v>21920</v>
      </c>
      <c r="C11" s="7">
        <v>39720</v>
      </c>
      <c r="D11" s="7">
        <v>61480</v>
      </c>
      <c r="E11" s="7">
        <v>87240</v>
      </c>
      <c r="F11" s="7">
        <v>116920</v>
      </c>
      <c r="G11" s="7">
        <v>150560</v>
      </c>
      <c r="H11" s="7"/>
      <c r="I11" s="7"/>
      <c r="J11" s="7"/>
      <c r="L11" s="2" t="s">
        <v>550</v>
      </c>
      <c r="M11" s="17">
        <f>INDEX($B$6:$J$20,N9,M9)</f>
        <v>649960</v>
      </c>
    </row>
    <row r="12" spans="1:18" x14ac:dyDescent="0.35">
      <c r="A12" s="8">
        <v>7</v>
      </c>
      <c r="B12" s="7">
        <v>27200</v>
      </c>
      <c r="C12" s="7">
        <v>47960</v>
      </c>
      <c r="D12" s="7">
        <v>73360</v>
      </c>
      <c r="E12" s="7">
        <v>103400</v>
      </c>
      <c r="F12" s="7">
        <v>138040</v>
      </c>
      <c r="G12" s="7">
        <v>177280</v>
      </c>
      <c r="H12" s="7">
        <v>221160</v>
      </c>
      <c r="I12" s="7"/>
      <c r="J12" s="7"/>
    </row>
    <row r="13" spans="1:18" x14ac:dyDescent="0.35">
      <c r="A13" s="8">
        <v>8</v>
      </c>
      <c r="B13" s="7">
        <v>32480</v>
      </c>
      <c r="C13" s="7">
        <v>56200</v>
      </c>
      <c r="D13" s="7">
        <v>85240</v>
      </c>
      <c r="E13" s="7">
        <v>119400</v>
      </c>
      <c r="F13" s="7">
        <v>159120</v>
      </c>
      <c r="G13" s="7">
        <v>204000</v>
      </c>
      <c r="H13" s="7">
        <v>254120</v>
      </c>
      <c r="I13" s="7">
        <v>309560</v>
      </c>
      <c r="J13" s="7"/>
    </row>
    <row r="14" spans="1:18" x14ac:dyDescent="0.35">
      <c r="A14" s="8">
        <v>9</v>
      </c>
      <c r="B14" s="7">
        <v>37760</v>
      </c>
      <c r="C14" s="7">
        <v>64480</v>
      </c>
      <c r="D14" s="7">
        <v>97120</v>
      </c>
      <c r="E14" s="7">
        <v>135720</v>
      </c>
      <c r="F14" s="7">
        <v>180240</v>
      </c>
      <c r="G14" s="7">
        <v>230720</v>
      </c>
      <c r="H14" s="7">
        <v>287120</v>
      </c>
      <c r="I14" s="7">
        <v>349480</v>
      </c>
      <c r="J14" s="7">
        <v>417760</v>
      </c>
      <c r="L14" s="2"/>
      <c r="M14" s="13" t="s">
        <v>546</v>
      </c>
      <c r="N14" s="13" t="s">
        <v>547</v>
      </c>
    </row>
    <row r="15" spans="1:18" x14ac:dyDescent="0.35">
      <c r="A15" s="8">
        <v>10</v>
      </c>
      <c r="B15" s="7">
        <v>43000</v>
      </c>
      <c r="C15" s="7">
        <v>72720</v>
      </c>
      <c r="D15" s="7">
        <v>109000</v>
      </c>
      <c r="E15" s="7">
        <v>151880</v>
      </c>
      <c r="F15" s="7">
        <v>201360</v>
      </c>
      <c r="G15" s="7">
        <v>257440</v>
      </c>
      <c r="H15" s="7">
        <v>320120</v>
      </c>
      <c r="I15" s="7">
        <v>389360</v>
      </c>
      <c r="J15" s="7">
        <v>465240</v>
      </c>
      <c r="L15" s="2" t="s">
        <v>548</v>
      </c>
      <c r="M15" s="2">
        <f>'LISTAS Y RANGOS'!J11</f>
        <v>1.4</v>
      </c>
      <c r="N15" s="2">
        <f>'LISTAS Y RANGOS'!J14</f>
        <v>6</v>
      </c>
    </row>
    <row r="16" spans="1:18" x14ac:dyDescent="0.35">
      <c r="A16" s="8">
        <v>12</v>
      </c>
      <c r="B16" s="7">
        <v>53560</v>
      </c>
      <c r="C16" s="7">
        <v>89200</v>
      </c>
      <c r="D16" s="7">
        <v>132760</v>
      </c>
      <c r="E16" s="7">
        <v>184200</v>
      </c>
      <c r="F16" s="7">
        <v>243560</v>
      </c>
      <c r="G16" s="7">
        <v>310880</v>
      </c>
      <c r="H16" s="7">
        <v>386080</v>
      </c>
      <c r="I16" s="7">
        <v>469200</v>
      </c>
      <c r="J16" s="7">
        <v>560240</v>
      </c>
      <c r="L16" s="2" t="s">
        <v>549</v>
      </c>
      <c r="M16" s="2">
        <f>MATCH(M15,$B$4:$K$4,0)</f>
        <v>6</v>
      </c>
      <c r="N16" s="2">
        <f>MATCH(N15,$A$6:$A$20,0)</f>
        <v>6</v>
      </c>
    </row>
    <row r="17" spans="1:13" x14ac:dyDescent="0.35">
      <c r="A17" s="8">
        <v>14</v>
      </c>
      <c r="B17" s="7">
        <v>64120</v>
      </c>
      <c r="C17" s="7">
        <v>105680</v>
      </c>
      <c r="D17" s="7">
        <v>156480</v>
      </c>
      <c r="E17" s="7">
        <v>216520</v>
      </c>
      <c r="F17" s="7">
        <v>285800</v>
      </c>
      <c r="G17" s="7">
        <v>364320</v>
      </c>
      <c r="H17" s="7">
        <v>452040</v>
      </c>
      <c r="I17" s="7">
        <v>549040</v>
      </c>
      <c r="J17" s="7">
        <v>655240</v>
      </c>
    </row>
    <row r="18" spans="1:13" x14ac:dyDescent="0.35">
      <c r="A18" s="8">
        <v>16</v>
      </c>
      <c r="B18" s="7">
        <v>74680</v>
      </c>
      <c r="C18" s="7">
        <v>122200</v>
      </c>
      <c r="D18" s="7">
        <v>180240</v>
      </c>
      <c r="E18" s="7">
        <v>248840</v>
      </c>
      <c r="F18" s="7">
        <v>328040</v>
      </c>
      <c r="G18" s="7">
        <v>417760</v>
      </c>
      <c r="H18" s="7">
        <v>518040</v>
      </c>
      <c r="I18" s="7">
        <v>628880</v>
      </c>
      <c r="J18" s="7">
        <v>750240</v>
      </c>
      <c r="L18" s="2" t="s">
        <v>550</v>
      </c>
      <c r="M18" s="17">
        <f>INDEX($B$6:$J$20,N16,M16)</f>
        <v>150560</v>
      </c>
    </row>
    <row r="19" spans="1:13" x14ac:dyDescent="0.35">
      <c r="A19" s="8">
        <v>18</v>
      </c>
      <c r="B19" s="7">
        <v>85240</v>
      </c>
      <c r="C19" s="7">
        <v>138600</v>
      </c>
      <c r="D19" s="7">
        <v>204000</v>
      </c>
      <c r="E19" s="7">
        <v>281200</v>
      </c>
      <c r="F19" s="7">
        <v>370240</v>
      </c>
      <c r="G19" s="7">
        <v>471200</v>
      </c>
      <c r="H19" s="7">
        <v>584000</v>
      </c>
      <c r="I19" s="7">
        <v>708680</v>
      </c>
      <c r="J19" s="7">
        <v>845240</v>
      </c>
    </row>
    <row r="20" spans="1:13" x14ac:dyDescent="0.35">
      <c r="A20" s="8">
        <v>20</v>
      </c>
      <c r="B20" s="7">
        <v>95800</v>
      </c>
      <c r="C20" s="7">
        <v>155160</v>
      </c>
      <c r="D20" s="7">
        <v>227760</v>
      </c>
      <c r="E20" s="7">
        <v>313520</v>
      </c>
      <c r="F20" s="7">
        <v>412480</v>
      </c>
      <c r="G20" s="7">
        <v>524640</v>
      </c>
      <c r="H20" s="7">
        <v>649960</v>
      </c>
      <c r="I20" s="7">
        <v>788520</v>
      </c>
      <c r="J20" s="7">
        <v>940240</v>
      </c>
    </row>
  </sheetData>
  <mergeCells count="3">
    <mergeCell ref="B1:J1"/>
    <mergeCell ref="B2:J2"/>
    <mergeCell ref="A5:J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R20"/>
  <sheetViews>
    <sheetView zoomScale="85" zoomScaleNormal="85" workbookViewId="0">
      <selection activeCell="D3" sqref="D3:K3"/>
    </sheetView>
  </sheetViews>
  <sheetFormatPr baseColWidth="10" defaultColWidth="11.453125" defaultRowHeight="14.5" x14ac:dyDescent="0.35"/>
  <cols>
    <col min="1" max="1" width="4.7265625" customWidth="1"/>
    <col min="2" max="2" width="12" customWidth="1"/>
    <col min="12" max="12" width="14.453125" customWidth="1"/>
  </cols>
  <sheetData>
    <row r="1" spans="1:18" ht="23.25" customHeight="1" x14ac:dyDescent="0.35">
      <c r="B1" s="86" t="s">
        <v>552</v>
      </c>
      <c r="C1" s="86"/>
      <c r="D1" s="86"/>
      <c r="E1" s="86"/>
      <c r="F1" s="86"/>
      <c r="G1" s="86"/>
      <c r="H1" s="86"/>
      <c r="I1" s="86"/>
      <c r="J1" s="86"/>
      <c r="K1" s="2"/>
    </row>
    <row r="2" spans="1:18" x14ac:dyDescent="0.35">
      <c r="B2" s="87" t="s">
        <v>541</v>
      </c>
      <c r="C2" s="87"/>
      <c r="D2" s="87"/>
      <c r="E2" s="87"/>
      <c r="F2" s="87"/>
      <c r="G2" s="87"/>
      <c r="H2" s="87"/>
      <c r="I2" s="87"/>
      <c r="J2" s="87"/>
      <c r="K2" s="2"/>
    </row>
    <row r="3" spans="1:18" x14ac:dyDescent="0.35">
      <c r="B3" s="4">
        <v>0.2</v>
      </c>
      <c r="C3" s="4">
        <v>0.25</v>
      </c>
      <c r="D3" s="4">
        <v>0.3</v>
      </c>
      <c r="E3" s="4">
        <v>0.35</v>
      </c>
      <c r="F3" s="4">
        <v>0.4</v>
      </c>
      <c r="G3" s="4">
        <v>0.45</v>
      </c>
      <c r="H3" s="4">
        <v>0.5</v>
      </c>
      <c r="I3" s="4">
        <v>0.55000000000000004</v>
      </c>
      <c r="J3" s="4">
        <v>0.6</v>
      </c>
      <c r="K3" s="11" t="s">
        <v>542</v>
      </c>
    </row>
    <row r="4" spans="1:18" x14ac:dyDescent="0.35">
      <c r="B4" s="5">
        <v>0.6</v>
      </c>
      <c r="C4" s="5">
        <v>0.8</v>
      </c>
      <c r="D4" s="5">
        <v>1</v>
      </c>
      <c r="E4" s="5">
        <v>1.1499999999999999</v>
      </c>
      <c r="F4" s="5">
        <v>1.3</v>
      </c>
      <c r="G4" s="5">
        <v>1.4</v>
      </c>
      <c r="H4" s="5">
        <v>1.55</v>
      </c>
      <c r="I4" s="5">
        <v>1.7</v>
      </c>
      <c r="J4" s="5">
        <v>1.85</v>
      </c>
      <c r="K4" s="11" t="s">
        <v>544</v>
      </c>
      <c r="R4" s="1"/>
    </row>
    <row r="5" spans="1:18" ht="23.25" customHeight="1" x14ac:dyDescent="0.35">
      <c r="A5" s="83" t="s">
        <v>545</v>
      </c>
      <c r="B5" s="88"/>
      <c r="C5" s="88"/>
      <c r="D5" s="88"/>
      <c r="E5" s="88"/>
      <c r="F5" s="88"/>
      <c r="G5" s="88"/>
      <c r="H5" s="88"/>
      <c r="I5" s="88"/>
      <c r="J5" s="89"/>
      <c r="K5" s="2"/>
    </row>
    <row r="6" spans="1:18" x14ac:dyDescent="0.35">
      <c r="A6" s="3">
        <v>1</v>
      </c>
      <c r="B6" s="7"/>
      <c r="C6" s="7"/>
      <c r="D6" s="7"/>
      <c r="E6" s="7"/>
      <c r="F6" s="7"/>
      <c r="G6" s="7"/>
      <c r="H6" s="7"/>
      <c r="I6" s="7"/>
      <c r="J6" s="7"/>
      <c r="K6" s="2"/>
    </row>
    <row r="7" spans="1:18" x14ac:dyDescent="0.35">
      <c r="A7" s="3">
        <v>2</v>
      </c>
      <c r="B7" s="10"/>
      <c r="C7" s="10"/>
      <c r="D7" s="10"/>
      <c r="E7" s="10"/>
      <c r="F7" s="10"/>
      <c r="G7" s="10"/>
      <c r="H7" s="10"/>
      <c r="I7" s="10"/>
      <c r="J7" s="10"/>
      <c r="L7" s="2"/>
      <c r="M7" s="13" t="s">
        <v>546</v>
      </c>
      <c r="N7" s="13" t="s">
        <v>547</v>
      </c>
    </row>
    <row r="8" spans="1:18" x14ac:dyDescent="0.35">
      <c r="A8" s="3">
        <v>3</v>
      </c>
      <c r="B8" s="7"/>
      <c r="C8" s="7"/>
      <c r="D8" s="7">
        <v>19440</v>
      </c>
      <c r="E8" s="7"/>
      <c r="F8" s="7"/>
      <c r="G8" s="7"/>
      <c r="H8" s="7"/>
      <c r="I8" s="7"/>
      <c r="J8" s="7"/>
      <c r="L8" s="2" t="s">
        <v>548</v>
      </c>
      <c r="M8" s="2">
        <f>'LISTAS Y RANGOS'!J3</f>
        <v>1.55</v>
      </c>
      <c r="N8" s="2">
        <f>'LISTAS Y RANGOS'!J6</f>
        <v>20</v>
      </c>
    </row>
    <row r="9" spans="1:18" x14ac:dyDescent="0.35">
      <c r="A9" s="3">
        <v>4</v>
      </c>
      <c r="B9" s="7"/>
      <c r="C9" s="7"/>
      <c r="D9" s="7">
        <v>26040</v>
      </c>
      <c r="E9" s="7">
        <v>38320</v>
      </c>
      <c r="F9" s="7"/>
      <c r="G9" s="7"/>
      <c r="H9" s="7"/>
      <c r="I9" s="7"/>
      <c r="J9" s="7"/>
      <c r="L9" s="2" t="s">
        <v>549</v>
      </c>
      <c r="M9" s="2">
        <f>MATCH(M8,$B$4:$K$4,0)</f>
        <v>7</v>
      </c>
      <c r="N9" s="2">
        <f>MATCH(N8,$A$6:$A$20,0)</f>
        <v>15</v>
      </c>
    </row>
    <row r="10" spans="1:18" x14ac:dyDescent="0.35">
      <c r="A10" s="3">
        <v>5</v>
      </c>
      <c r="B10" s="7"/>
      <c r="C10" s="7">
        <v>19640</v>
      </c>
      <c r="D10" s="7">
        <v>32600</v>
      </c>
      <c r="E10" s="7">
        <v>47920</v>
      </c>
      <c r="F10" s="7">
        <v>65600</v>
      </c>
      <c r="G10" s="7"/>
      <c r="H10" s="7"/>
      <c r="I10" s="7"/>
      <c r="J10" s="7"/>
    </row>
    <row r="11" spans="1:18" x14ac:dyDescent="0.35">
      <c r="A11" s="3">
        <v>6</v>
      </c>
      <c r="B11" s="7"/>
      <c r="C11" s="7">
        <v>25560</v>
      </c>
      <c r="D11" s="7">
        <v>41080</v>
      </c>
      <c r="E11" s="7">
        <v>59480</v>
      </c>
      <c r="F11" s="7">
        <v>80680</v>
      </c>
      <c r="G11" s="7">
        <v>104720</v>
      </c>
      <c r="H11" s="7"/>
      <c r="I11" s="7"/>
      <c r="J11" s="7"/>
      <c r="L11" s="2" t="s">
        <v>550</v>
      </c>
      <c r="M11" s="17">
        <f>INDEX($B$6:$J$20,N9,M9)</f>
        <v>461440</v>
      </c>
    </row>
    <row r="12" spans="1:18" x14ac:dyDescent="0.35">
      <c r="A12" s="3">
        <v>7</v>
      </c>
      <c r="B12" s="7">
        <v>16600</v>
      </c>
      <c r="C12" s="7">
        <v>31440</v>
      </c>
      <c r="D12" s="7">
        <v>49560</v>
      </c>
      <c r="E12" s="7">
        <v>71000</v>
      </c>
      <c r="F12" s="7">
        <v>95760</v>
      </c>
      <c r="G12" s="7">
        <v>123800</v>
      </c>
      <c r="H12" s="7">
        <v>155120</v>
      </c>
      <c r="I12" s="7"/>
      <c r="J12" s="7"/>
    </row>
    <row r="13" spans="1:18" x14ac:dyDescent="0.35">
      <c r="A13" s="3">
        <v>8</v>
      </c>
      <c r="B13" s="7">
        <v>20360</v>
      </c>
      <c r="C13" s="7">
        <v>37320</v>
      </c>
      <c r="D13" s="7">
        <v>58040</v>
      </c>
      <c r="E13" s="7">
        <v>82560</v>
      </c>
      <c r="F13" s="7">
        <v>110840</v>
      </c>
      <c r="G13" s="7">
        <v>142880</v>
      </c>
      <c r="H13" s="7">
        <v>178680</v>
      </c>
      <c r="I13" s="7">
        <v>218280</v>
      </c>
      <c r="J13" s="7"/>
    </row>
    <row r="14" spans="1:18" x14ac:dyDescent="0.35">
      <c r="A14" s="3">
        <v>9</v>
      </c>
      <c r="B14" s="7">
        <v>26960</v>
      </c>
      <c r="C14" s="7">
        <v>47640</v>
      </c>
      <c r="D14" s="7">
        <v>72920</v>
      </c>
      <c r="E14" s="7">
        <v>102760</v>
      </c>
      <c r="F14" s="7">
        <v>137240</v>
      </c>
      <c r="G14" s="7">
        <v>176280</v>
      </c>
      <c r="H14" s="7">
        <v>219920</v>
      </c>
      <c r="I14" s="7">
        <v>268160</v>
      </c>
      <c r="J14" s="7">
        <v>321000</v>
      </c>
      <c r="L14" s="2"/>
      <c r="M14" s="13" t="s">
        <v>546</v>
      </c>
      <c r="N14" s="13" t="s">
        <v>547</v>
      </c>
    </row>
    <row r="15" spans="1:18" x14ac:dyDescent="0.35">
      <c r="A15" s="3">
        <v>10</v>
      </c>
      <c r="B15" s="7">
        <v>27880</v>
      </c>
      <c r="C15" s="7">
        <v>49120</v>
      </c>
      <c r="D15" s="7">
        <v>75040</v>
      </c>
      <c r="E15" s="7">
        <v>105640</v>
      </c>
      <c r="F15" s="7">
        <v>141000</v>
      </c>
      <c r="G15" s="7">
        <v>181040</v>
      </c>
      <c r="H15" s="7">
        <v>225800</v>
      </c>
      <c r="I15" s="7">
        <v>275280</v>
      </c>
      <c r="J15" s="7">
        <v>329480</v>
      </c>
      <c r="L15" s="2" t="s">
        <v>548</v>
      </c>
      <c r="M15" s="2">
        <f>'LISTAS Y RANGOS'!J11</f>
        <v>1.4</v>
      </c>
      <c r="N15" s="2">
        <f>'LISTAS Y RANGOS'!J14</f>
        <v>6</v>
      </c>
    </row>
    <row r="16" spans="1:18" x14ac:dyDescent="0.35">
      <c r="A16" s="3">
        <v>12</v>
      </c>
      <c r="B16" s="7">
        <v>35440</v>
      </c>
      <c r="C16" s="7">
        <v>60880</v>
      </c>
      <c r="D16" s="7">
        <v>92000</v>
      </c>
      <c r="E16" s="7">
        <v>128760</v>
      </c>
      <c r="F16" s="7">
        <v>171160</v>
      </c>
      <c r="G16" s="7">
        <v>218040</v>
      </c>
      <c r="H16" s="7">
        <v>272960</v>
      </c>
      <c r="I16" s="7">
        <v>332320</v>
      </c>
      <c r="J16" s="7">
        <v>397360</v>
      </c>
      <c r="L16" s="2" t="s">
        <v>549</v>
      </c>
      <c r="M16" s="2">
        <f>MATCH(M15,$B$4:$K$4,0)</f>
        <v>6</v>
      </c>
      <c r="N16" s="2">
        <f>MATCH(N15,$A$6:$A$20,0)</f>
        <v>6</v>
      </c>
    </row>
    <row r="17" spans="1:13" x14ac:dyDescent="0.35">
      <c r="A17" s="3">
        <v>14</v>
      </c>
      <c r="B17" s="7">
        <v>42960</v>
      </c>
      <c r="C17" s="7">
        <v>72680</v>
      </c>
      <c r="D17" s="7">
        <v>108960</v>
      </c>
      <c r="E17" s="7">
        <v>151840</v>
      </c>
      <c r="F17" s="7">
        <v>201320</v>
      </c>
      <c r="G17" s="7">
        <v>257400</v>
      </c>
      <c r="H17" s="7">
        <v>320080</v>
      </c>
      <c r="I17" s="7">
        <v>389320</v>
      </c>
      <c r="J17" s="7">
        <v>465200</v>
      </c>
    </row>
    <row r="18" spans="1:13" x14ac:dyDescent="0.35">
      <c r="A18" s="3">
        <v>16</v>
      </c>
      <c r="B18" s="7">
        <v>50520</v>
      </c>
      <c r="C18" s="7">
        <v>84440</v>
      </c>
      <c r="D18" s="7">
        <v>125920</v>
      </c>
      <c r="E18" s="7">
        <v>175040</v>
      </c>
      <c r="F18" s="7">
        <v>231480</v>
      </c>
      <c r="G18" s="7">
        <v>295560</v>
      </c>
      <c r="H18" s="7">
        <v>367200</v>
      </c>
      <c r="I18" s="7">
        <v>446360</v>
      </c>
      <c r="J18" s="7">
        <v>533080</v>
      </c>
      <c r="L18" s="2" t="s">
        <v>550</v>
      </c>
      <c r="M18" s="17">
        <f>INDEX($B$6:$J$20,N16,M16)</f>
        <v>104720</v>
      </c>
    </row>
    <row r="19" spans="1:13" x14ac:dyDescent="0.35">
      <c r="A19" s="3">
        <v>18</v>
      </c>
      <c r="B19" s="7">
        <v>58040</v>
      </c>
      <c r="C19" s="7">
        <v>96240</v>
      </c>
      <c r="D19" s="7">
        <v>142880</v>
      </c>
      <c r="E19" s="7">
        <v>198000</v>
      </c>
      <c r="F19" s="7">
        <v>261640</v>
      </c>
      <c r="G19" s="7">
        <v>333720</v>
      </c>
      <c r="H19" s="7">
        <v>414320</v>
      </c>
      <c r="I19" s="7">
        <v>503360</v>
      </c>
      <c r="J19" s="7">
        <v>600920</v>
      </c>
    </row>
    <row r="20" spans="1:13" x14ac:dyDescent="0.35">
      <c r="A20" s="3">
        <v>20</v>
      </c>
      <c r="B20" s="7">
        <v>65600</v>
      </c>
      <c r="C20" s="7">
        <v>108000</v>
      </c>
      <c r="D20" s="7">
        <v>159840</v>
      </c>
      <c r="E20" s="7">
        <v>221120</v>
      </c>
      <c r="F20" s="7">
        <v>291800</v>
      </c>
      <c r="G20" s="7">
        <v>371920</v>
      </c>
      <c r="H20" s="7">
        <v>461440</v>
      </c>
      <c r="I20" s="7">
        <v>560400</v>
      </c>
      <c r="J20" s="7">
        <v>668800</v>
      </c>
    </row>
  </sheetData>
  <mergeCells count="3">
    <mergeCell ref="B1:J1"/>
    <mergeCell ref="B2:J2"/>
    <mergeCell ref="A5:J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L17"/>
  <sheetViews>
    <sheetView workbookViewId="0">
      <selection activeCell="D3" sqref="D3:K3"/>
    </sheetView>
  </sheetViews>
  <sheetFormatPr baseColWidth="10" defaultColWidth="11.453125" defaultRowHeight="14.5" x14ac:dyDescent="0.35"/>
  <cols>
    <col min="7" max="7" width="15.54296875" customWidth="1"/>
    <col min="9" max="9" width="13.1796875" customWidth="1"/>
    <col min="10" max="10" width="15.7265625" customWidth="1"/>
  </cols>
  <sheetData>
    <row r="1" spans="1:12" x14ac:dyDescent="0.35">
      <c r="D1" s="13" t="s">
        <v>553</v>
      </c>
      <c r="E1" s="13" t="s">
        <v>554</v>
      </c>
      <c r="F1" s="13" t="s">
        <v>555</v>
      </c>
    </row>
    <row r="2" spans="1:12" x14ac:dyDescent="0.35">
      <c r="A2" s="13" t="s">
        <v>556</v>
      </c>
      <c r="B2" s="20"/>
      <c r="C2" t="s">
        <v>557</v>
      </c>
      <c r="D2" s="13" t="s">
        <v>558</v>
      </c>
      <c r="E2" s="13" t="s">
        <v>558</v>
      </c>
      <c r="F2" s="13" t="s">
        <v>558</v>
      </c>
      <c r="G2" s="13" t="s">
        <v>559</v>
      </c>
      <c r="I2" s="13" t="s">
        <v>560</v>
      </c>
      <c r="J2" s="13" t="s">
        <v>561</v>
      </c>
    </row>
    <row r="3" spans="1:12" x14ac:dyDescent="0.35">
      <c r="A3" s="13" t="s">
        <v>20</v>
      </c>
      <c r="B3" s="20"/>
      <c r="C3" s="19">
        <v>1</v>
      </c>
      <c r="D3" s="18">
        <v>0.45</v>
      </c>
      <c r="E3" s="18">
        <v>0.6</v>
      </c>
      <c r="F3" s="18">
        <v>0.6</v>
      </c>
      <c r="G3" s="19">
        <v>1</v>
      </c>
      <c r="I3" s="16">
        <f>ESPECIES!F3/100</f>
        <v>1.54</v>
      </c>
      <c r="J3" s="16">
        <f t="array" ref="J3">IF(I3&gt;MAX(D3:F12),F12,(IF(ESPECIES!E3="Primera",MIN(IF(D3:D12&gt;=I3,D3:D12)),IF(ESPECIES!E3="Segunda",MIN(IF(E3:E12&gt;=I3,E3:E12)),IF(ESPECIES!E3="Tercera",MIN(IF(F3:F12&gt;=I3,F3:F12)))))))</f>
        <v>1.55</v>
      </c>
    </row>
    <row r="4" spans="1:12" x14ac:dyDescent="0.35">
      <c r="A4" s="13" t="s">
        <v>13</v>
      </c>
      <c r="B4" s="20"/>
      <c r="C4" s="19">
        <v>2</v>
      </c>
      <c r="D4" s="18">
        <v>0.6</v>
      </c>
      <c r="E4" s="18">
        <v>0.6</v>
      </c>
      <c r="F4" s="18">
        <v>0.6</v>
      </c>
      <c r="G4" s="19">
        <v>2</v>
      </c>
    </row>
    <row r="5" spans="1:12" x14ac:dyDescent="0.35">
      <c r="A5" s="13" t="s">
        <v>16</v>
      </c>
      <c r="B5" s="20"/>
      <c r="C5" s="19">
        <v>3</v>
      </c>
      <c r="D5" s="18">
        <v>0.8</v>
      </c>
      <c r="E5" s="18">
        <v>0.8</v>
      </c>
      <c r="F5" s="18">
        <v>0.8</v>
      </c>
      <c r="G5" s="19">
        <v>3</v>
      </c>
      <c r="I5" s="13" t="s">
        <v>562</v>
      </c>
      <c r="J5" s="13" t="s">
        <v>563</v>
      </c>
    </row>
    <row r="6" spans="1:12" x14ac:dyDescent="0.35">
      <c r="C6" s="19">
        <v>4</v>
      </c>
      <c r="D6" s="18">
        <v>1</v>
      </c>
      <c r="E6" s="18">
        <v>1</v>
      </c>
      <c r="F6" s="18">
        <v>1</v>
      </c>
      <c r="G6" s="19">
        <v>4</v>
      </c>
      <c r="I6" s="16">
        <f>ESPECIES!G3</f>
        <v>18.899999999999999</v>
      </c>
      <c r="J6" s="16">
        <f t="array" ref="J6">MIN(IF(G3:G17&gt;=I6,G3:G17))</f>
        <v>20</v>
      </c>
    </row>
    <row r="7" spans="1:12" x14ac:dyDescent="0.35">
      <c r="C7" s="19">
        <v>5</v>
      </c>
      <c r="D7" s="18">
        <v>1.1499999999999999</v>
      </c>
      <c r="E7" s="18">
        <v>1.1499999999999999</v>
      </c>
      <c r="F7" s="18">
        <v>1.1499999999999999</v>
      </c>
      <c r="G7" s="19">
        <v>5</v>
      </c>
    </row>
    <row r="8" spans="1:12" x14ac:dyDescent="0.35">
      <c r="C8" s="19">
        <v>6</v>
      </c>
      <c r="D8" s="18">
        <v>1.3</v>
      </c>
      <c r="E8" s="18">
        <v>1.3</v>
      </c>
      <c r="F8" s="18">
        <v>1.3</v>
      </c>
      <c r="G8" s="19">
        <v>6</v>
      </c>
    </row>
    <row r="9" spans="1:12" x14ac:dyDescent="0.35">
      <c r="C9" s="19">
        <v>7</v>
      </c>
      <c r="D9" s="18">
        <v>1.4</v>
      </c>
      <c r="E9" s="18">
        <v>1.4</v>
      </c>
      <c r="F9" s="18">
        <v>1.4</v>
      </c>
      <c r="G9" s="19">
        <v>7</v>
      </c>
    </row>
    <row r="10" spans="1:12" x14ac:dyDescent="0.35">
      <c r="C10" s="19">
        <v>8</v>
      </c>
      <c r="D10" s="18">
        <v>1.55</v>
      </c>
      <c r="E10" s="18">
        <v>1.55</v>
      </c>
      <c r="F10" s="18">
        <v>1.55</v>
      </c>
      <c r="G10" s="19">
        <v>8</v>
      </c>
      <c r="I10" s="13" t="s">
        <v>560</v>
      </c>
      <c r="J10" s="13" t="s">
        <v>561</v>
      </c>
    </row>
    <row r="11" spans="1:12" x14ac:dyDescent="0.35">
      <c r="C11" s="19">
        <v>9</v>
      </c>
      <c r="D11" s="18">
        <v>1.7</v>
      </c>
      <c r="E11" s="18">
        <v>1.7</v>
      </c>
      <c r="F11" s="18">
        <v>1.7</v>
      </c>
      <c r="G11" s="19">
        <v>9</v>
      </c>
      <c r="I11" s="16">
        <f>ESPECIES!F7/100</f>
        <v>1.4</v>
      </c>
      <c r="J11" s="16">
        <f t="array" ref="J11">IF(I11&gt;MAX(D3:F12),F12,(IF(ESPECIES!E7="Primera",MIN(IF(D3:D12&gt;=I11,D3:D12)),IF(ESPECIES!E7="Segunda",MIN(IF(E3:E12&gt;=I11,E3:E12)),IF(ESPECIES!E7="Tercera",MIN(IF(F3:F12&gt;=I11,F3:F12)))))))</f>
        <v>1.4</v>
      </c>
      <c r="L11" s="21"/>
    </row>
    <row r="12" spans="1:12" x14ac:dyDescent="0.35">
      <c r="C12" s="19">
        <v>10</v>
      </c>
      <c r="D12" s="18">
        <v>1.85</v>
      </c>
      <c r="E12" s="18">
        <v>1.85</v>
      </c>
      <c r="F12" s="18">
        <v>1.85</v>
      </c>
      <c r="G12" s="19">
        <v>10</v>
      </c>
    </row>
    <row r="13" spans="1:12" x14ac:dyDescent="0.35">
      <c r="C13" s="9">
        <v>11</v>
      </c>
      <c r="G13" s="9">
        <v>12</v>
      </c>
      <c r="I13" s="13" t="s">
        <v>562</v>
      </c>
      <c r="J13" s="13" t="s">
        <v>563</v>
      </c>
    </row>
    <row r="14" spans="1:12" x14ac:dyDescent="0.35">
      <c r="C14" s="9">
        <v>12</v>
      </c>
      <c r="G14" s="9">
        <v>14</v>
      </c>
      <c r="I14" s="16">
        <f>ESPECIES!G7</f>
        <v>5.0999999999999996</v>
      </c>
      <c r="J14" s="16" cm="1">
        <f t="array" ref="J14">MIN(IF(G3:G17&gt;=I14,G3:G17))</f>
        <v>6</v>
      </c>
    </row>
    <row r="15" spans="1:12" x14ac:dyDescent="0.35">
      <c r="C15" s="9">
        <v>13</v>
      </c>
      <c r="G15" s="9">
        <v>16</v>
      </c>
    </row>
    <row r="16" spans="1:12" x14ac:dyDescent="0.35">
      <c r="C16" s="9">
        <v>14</v>
      </c>
      <c r="G16" s="9">
        <v>18</v>
      </c>
    </row>
    <row r="17" spans="3:7" x14ac:dyDescent="0.35">
      <c r="C17" s="9">
        <v>15</v>
      </c>
      <c r="G17" s="9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7bb90c-7a6a-4bc8-a536-cd7be29007d4">
      <Terms xmlns="http://schemas.microsoft.com/office/infopath/2007/PartnerControls"/>
    </lcf76f155ced4ddcb4097134ff3c332f>
    <TaxCatchAll xmlns="fb6dd25a-a11a-4f3d-93f1-178f27a8ca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9113898A17434689350A13949DAB45" ma:contentTypeVersion="19" ma:contentTypeDescription="Crear nuevo documento." ma:contentTypeScope="" ma:versionID="cd3df42b3105225c38a381727ac4b05a">
  <xsd:schema xmlns:xsd="http://www.w3.org/2001/XMLSchema" xmlns:xs="http://www.w3.org/2001/XMLSchema" xmlns:p="http://schemas.microsoft.com/office/2006/metadata/properties" xmlns:ns2="fb6dd25a-a11a-4f3d-93f1-178f27a8ca89" xmlns:ns3="2e7bb90c-7a6a-4bc8-a536-cd7be29007d4" targetNamespace="http://schemas.microsoft.com/office/2006/metadata/properties" ma:root="true" ma:fieldsID="426014d19e2c67e1a71b59f09a2ca777" ns2:_="" ns3:_="">
    <xsd:import namespace="fb6dd25a-a11a-4f3d-93f1-178f27a8ca89"/>
    <xsd:import namespace="2e7bb90c-7a6a-4bc8-a536-cd7be29007d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dd25a-a11a-4f3d-93f1-178f27a8ca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26c571-d1e4-499d-a1a5-4cec8ff7d691}" ma:internalName="TaxCatchAll" ma:showField="CatchAllData" ma:web="fb6dd25a-a11a-4f3d-93f1-178f27a8ca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bb90c-7a6a-4bc8-a536-cd7be29007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71a0d4a-75ad-4b94-9add-0a149f313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6F6BD4-ED99-4805-A995-A50BB1D9D4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4DC0E5-956A-4BB0-9CA9-A1EC91F206AF}">
  <ds:schemaRefs>
    <ds:schemaRef ds:uri="http://schemas.microsoft.com/office/2006/metadata/properties"/>
    <ds:schemaRef ds:uri="http://schemas.microsoft.com/office/infopath/2007/PartnerControls"/>
    <ds:schemaRef ds:uri="2e7bb90c-7a6a-4bc8-a536-cd7be29007d4"/>
    <ds:schemaRef ds:uri="fb6dd25a-a11a-4f3d-93f1-178f27a8ca89"/>
  </ds:schemaRefs>
</ds:datastoreItem>
</file>

<file path=customXml/itemProps3.xml><?xml version="1.0" encoding="utf-8"?>
<ds:datastoreItem xmlns:ds="http://schemas.openxmlformats.org/officeDocument/2006/customXml" ds:itemID="{8BA9C4B0-7E46-413A-A8EC-8B5969113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dd25a-a11a-4f3d-93f1-178f27a8ca89"/>
    <ds:schemaRef ds:uri="2e7bb90c-7a6a-4bc8-a536-cd7be2900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AVALUO</vt:lpstr>
      <vt:lpstr>ESPECIES</vt:lpstr>
      <vt:lpstr>PRIMERA_O&amp;M</vt:lpstr>
      <vt:lpstr>SEGUNDA_O&amp;M</vt:lpstr>
      <vt:lpstr>TERCERA_O&amp;M</vt:lpstr>
      <vt:lpstr>LISTAS Y RANGOS</vt:lpstr>
      <vt:lpstr>'PRIMERA_O&amp;M'!Área_de_impresión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Ingeniero</dc:creator>
  <cp:keywords/>
  <dc:description/>
  <cp:lastModifiedBy>Albert Daniel  Gaviria Zapata</cp:lastModifiedBy>
  <cp:revision/>
  <dcterms:created xsi:type="dcterms:W3CDTF">2016-12-13T20:00:10Z</dcterms:created>
  <dcterms:modified xsi:type="dcterms:W3CDTF">2026-03-26T16:27:01Z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0x010100D19113898A17434689350A13949DAB45</vt:lpwstr>
  </property>
  <property fmtid="{D5CDD505-2E9C-101B-9397-08002B2CF9AE}" pid="3" name="MediaServiceImageTags">
    <vt:lpwstr/>
  </property>
</Properties>
</file>